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0" autoFilterDateGrouping="1"/>
  </bookViews>
  <sheets>
    <sheet xmlns:r="http://schemas.openxmlformats.org/officeDocument/2006/relationships" name="Control Center" sheetId="1" state="visible" r:id="rId1"/>
    <sheet xmlns:r="http://schemas.openxmlformats.org/officeDocument/2006/relationships" name="Manager Run Sheet" sheetId="2" state="visible" r:id="rId2"/>
    <sheet xmlns:r="http://schemas.openxmlformats.org/officeDocument/2006/relationships" name="PM Operations Playbook" sheetId="3" state="visible" r:id="rId3"/>
    <sheet xmlns:r="http://schemas.openxmlformats.org/officeDocument/2006/relationships" name="AM Operations Playbook" sheetId="4" state="visible" r:id="rId4"/>
    <sheet xmlns:r="http://schemas.openxmlformats.org/officeDocument/2006/relationships" name="Client Assignment Sheet" sheetId="5" state="visible" r:id="rId5"/>
    <sheet xmlns:r="http://schemas.openxmlformats.org/officeDocument/2006/relationships" name="Break Coverage" sheetId="6" state="visible" r:id="rId6"/>
    <sheet xmlns:r="http://schemas.openxmlformats.org/officeDocument/2006/relationships" name="PM Break Coverage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AM Pool" sheetId="9" state="visible" r:id="rId9"/>
    <sheet xmlns:r="http://schemas.openxmlformats.org/officeDocument/2006/relationships" name="PM Pool" sheetId="10" state="visible" r:id="rId10"/>
    <sheet xmlns:r="http://schemas.openxmlformats.org/officeDocument/2006/relationships" name="AM Eligible Names" sheetId="11" state="visible" r:id="rId11"/>
    <sheet xmlns:r="http://schemas.openxmlformats.org/officeDocument/2006/relationships" name="PM Eligible Names" sheetId="12" state="visible" r:id="rId12"/>
    <sheet xmlns:r="http://schemas.openxmlformats.org/officeDocument/2006/relationships" name="Approved Absences" sheetId="13" state="visible" r:id="rId13"/>
    <sheet xmlns:r="http://schemas.openxmlformats.org/officeDocument/2006/relationships" name="Employee Master" sheetId="14" state="visible" r:id="rId14"/>
    <sheet xmlns:r="http://schemas.openxmlformats.org/officeDocument/2006/relationships" name="Position Library" sheetId="15" state="visible" r:id="rId15"/>
    <sheet xmlns:r="http://schemas.openxmlformats.org/officeDocument/2006/relationships" name="Break Relief Guide" sheetId="16" state="visible" r:id="rId16"/>
    <sheet xmlns:r="http://schemas.openxmlformats.org/officeDocument/2006/relationships" name="Rotation History" sheetId="17" state="visible" r:id="rId17"/>
  </sheets>
  <definedNames>
    <definedName name="AM_Eligible_Names" hidden="0" function="0" vbProcedure="0">'AM Eligible Names'!$A$5:$A$53</definedName>
    <definedName name="PM_Eligible_Names" hidden="0" function="0" vbProcedure="0">'PM Eligible Names'!$A$4:$A$44</definedName>
    <definedName name="_xlnm.Print_Titles" localSheetId="2">'PM Operations Playbook'!$1:$5</definedName>
    <definedName name="_xlnm.Print_Area" localSheetId="2">'PM Operations Playbook'!$A$1:$F$67</definedName>
    <definedName name="_xlnm.Print_Titles" localSheetId="3">'AM Operations Playbook'!$1:$5</definedName>
    <definedName name="_xlnm.Print_Area" localSheetId="3">'AM Operations Playbook'!$A$1:$F$67</definedName>
    <definedName name="_xlnm._FilterDatabase" localSheetId="8" hidden="1">'AM Pool'!$A$4:$P$163</definedName>
    <definedName name="_xlnm._FilterDatabase" localSheetId="9" hidden="1">'PM Pool'!$A$4:$O$169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m/d/yyyy"/>
    <numFmt numFmtId="166" formatCode="h:mm\ AM/PM"/>
    <numFmt numFmtId="167" formatCode="MM/DD/YYYY"/>
  </numFmts>
  <fonts count="4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1F1F1F"/>
      <sz val="11"/>
    </font>
    <font>
      <name val="Calibri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9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8"/>
    </font>
    <font>
      <name val="Arial"/>
      <charset val="1"/>
      <family val="0"/>
      <sz val="8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55555"/>
      <sz val="7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sz val="7"/>
    </font>
    <font>
      <name val="Arial"/>
      <charset val="1"/>
      <family val="0"/>
      <b val="1"/>
      <sz val="11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7"/>
    </font>
    <font>
      <name val="Arial"/>
      <charset val="1"/>
      <family val="0"/>
      <i val="1"/>
      <color rgb="FFC00000"/>
      <sz val="8"/>
    </font>
    <font>
      <name val="Arial"/>
      <charset val="1"/>
      <family val="0"/>
      <i val="1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1F4E79"/>
      <sz val="9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i val="1"/>
      <sz val="8"/>
    </font>
    <font>
      <name val="Calibri"/>
      <charset val="1"/>
      <family val="0"/>
      <b val="1"/>
      <color rgb="FFFFFFFF"/>
      <sz val="11"/>
    </font>
    <font>
      <name val="Arial"/>
      <charset val="1"/>
      <family val="2"/>
      <b val="1"/>
      <color rgb="FFFFFFFF"/>
      <sz val="9"/>
    </font>
    <font>
      <name val="Calibri"/>
      <charset val="1"/>
      <family val="0"/>
      <color rgb="FF1F1F1F"/>
      <sz val="9"/>
    </font>
    <font>
      <name val="Arial"/>
      <charset val="1"/>
      <family val="2"/>
      <color rgb="FF1F1F1F"/>
      <sz val="9"/>
    </font>
    <font>
      <name val="Calibri"/>
      <charset val="1"/>
      <family val="0"/>
      <color rgb="FF1F1F1F"/>
      <sz val="11"/>
    </font>
    <font>
      <name val="Arial"/>
      <b val="1"/>
      <color rgb="001F4E79"/>
      <sz val="12"/>
    </font>
    <font>
      <name val="Arial"/>
      <b val="1"/>
      <sz val="8"/>
    </font>
    <font>
      <name val="Arial"/>
      <b val="1"/>
      <sz val="10"/>
    </font>
    <font>
      <name val="Arial"/>
      <i val="1"/>
      <color rgb="00555555"/>
      <sz val="7"/>
    </font>
    <font>
      <name val="Arial"/>
      <b val="1"/>
      <color rgb="00FFFFFF"/>
      <sz val="8"/>
    </font>
    <font>
      <name val="Arial"/>
      <sz val="8"/>
    </font>
    <font>
      <name val="Arial"/>
      <i val="1"/>
      <sz val="7"/>
    </font>
  </fonts>
  <fills count="25">
    <fill>
      <patternFill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F4E78"/>
      </patternFill>
    </fill>
    <fill>
      <patternFill patternType="solid">
        <fgColor rgb="FFE7F3FF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5B9BD5"/>
        <bgColor rgb="FF4472C4"/>
      </patternFill>
    </fill>
    <fill>
      <patternFill patternType="solid">
        <fgColor rgb="FF9DC3E6"/>
        <bgColor rgb="FFB0B0B0"/>
      </patternFill>
    </fill>
    <fill>
      <patternFill patternType="solid">
        <fgColor rgb="FFF2F2F2"/>
        <bgColor rgb="FFE7F3FF"/>
      </patternFill>
    </fill>
    <fill>
      <patternFill patternType="solid">
        <fgColor rgb="FF4472C4"/>
        <bgColor rgb="FF2E75B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DDEBF7"/>
      </patternFill>
    </fill>
  </fills>
  <borders count="2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/>
      <right style="thin"/>
      <top style="thin"/>
      <bottom style="thin"/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2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10" fillId="7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4" fontId="18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5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general" vertical="bottom"/>
    </xf>
    <xf numFmtId="0" fontId="14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4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4" fontId="22" fillId="4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 wrapText="1"/>
    </xf>
    <xf numFmtId="0" fontId="24" fillId="9" borderId="1" applyAlignment="1" pivotButton="0" quotePrefix="0" xfId="0">
      <alignment horizontal="general" vertical="bottom"/>
    </xf>
    <xf numFmtId="0" fontId="20" fillId="12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0" fontId="14" fillId="11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4" fillId="5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4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4" fillId="5" borderId="4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1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general" vertical="bottom"/>
    </xf>
    <xf numFmtId="0" fontId="33" fillId="2" borderId="5" applyAlignment="1" pivotButton="0" quotePrefix="0" xfId="0">
      <alignment horizontal="center" vertical="center" wrapText="1"/>
    </xf>
    <xf numFmtId="0" fontId="34" fillId="2" borderId="6" applyAlignment="1" pivotButton="0" quotePrefix="0" xfId="0">
      <alignment horizontal="center" vertical="center" wrapText="1"/>
    </xf>
    <xf numFmtId="0" fontId="33" fillId="2" borderId="6" applyAlignment="1" pivotButton="0" quotePrefix="0" xfId="0">
      <alignment horizontal="center" vertical="center" wrapText="1"/>
    </xf>
    <xf numFmtId="0" fontId="35" fillId="0" borderId="7" applyAlignment="1" pivotButton="0" quotePrefix="0" xfId="0">
      <alignment horizontal="general" vertical="center"/>
    </xf>
    <xf numFmtId="0" fontId="35" fillId="0" borderId="8" applyAlignment="1" pivotButton="0" quotePrefix="0" xfId="0">
      <alignment horizontal="general" vertical="center"/>
    </xf>
    <xf numFmtId="0" fontId="35" fillId="0" borderId="9" applyAlignment="1" pivotButton="0" quotePrefix="0" xfId="0">
      <alignment horizontal="general" vertical="center"/>
    </xf>
    <xf numFmtId="0" fontId="36" fillId="0" borderId="10" applyAlignment="1" pivotButton="0" quotePrefix="0" xfId="0">
      <alignment horizontal="center" vertical="bottom"/>
    </xf>
    <xf numFmtId="165" fontId="37" fillId="4" borderId="10" applyAlignment="1" pivotButton="0" quotePrefix="0" xfId="0">
      <alignment horizontal="general" vertical="center"/>
    </xf>
    <xf numFmtId="0" fontId="37" fillId="4" borderId="10" applyAlignment="1" pivotButton="0" quotePrefix="0" xfId="0">
      <alignment horizontal="general" vertical="center"/>
    </xf>
    <xf numFmtId="0" fontId="37" fillId="10" borderId="10" applyAlignment="1" pivotButton="0" quotePrefix="0" xfId="0">
      <alignment horizontal="general" vertical="center"/>
    </xf>
    <xf numFmtId="0" fontId="35" fillId="0" borderId="11" applyAlignment="1" pivotButton="0" quotePrefix="0" xfId="0">
      <alignment horizontal="general" vertical="center"/>
    </xf>
    <xf numFmtId="0" fontId="35" fillId="0" borderId="10" applyAlignment="1" pivotButton="0" quotePrefix="0" xfId="0">
      <alignment horizontal="general" vertical="center"/>
    </xf>
    <xf numFmtId="0" fontId="35" fillId="0" borderId="12" applyAlignment="1" pivotButton="0" quotePrefix="0" xfId="0">
      <alignment horizontal="general" vertical="center"/>
    </xf>
    <xf numFmtId="166" fontId="35" fillId="0" borderId="10" applyAlignment="1" pivotButton="0" quotePrefix="0" xfId="0">
      <alignment horizontal="left" vertical="center"/>
    </xf>
    <xf numFmtId="0" fontId="35" fillId="0" borderId="13" applyAlignment="1" pivotButton="0" quotePrefix="0" xfId="0">
      <alignment horizontal="general" vertical="center"/>
    </xf>
    <xf numFmtId="0" fontId="35" fillId="0" borderId="14" applyAlignment="1" pivotButton="0" quotePrefix="0" xfId="0">
      <alignment horizontal="general" vertical="center"/>
    </xf>
    <xf numFmtId="0" fontId="35" fillId="0" borderId="15" applyAlignment="1" pivotButton="0" quotePrefix="0" xfId="0">
      <alignment horizontal="general" vertical="center"/>
    </xf>
    <xf numFmtId="0" fontId="35" fillId="0" borderId="0" applyAlignment="1" pivotButton="0" quotePrefix="0" xfId="0">
      <alignment horizontal="general" vertical="center"/>
    </xf>
    <xf numFmtId="166" fontId="35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 wrapText="1"/>
    </xf>
    <xf numFmtId="0" fontId="4" fillId="4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bottom"/>
    </xf>
    <xf numFmtId="164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bottom"/>
    </xf>
    <xf numFmtId="0" fontId="0" fillId="0" borderId="2" pivotButton="0" quotePrefix="0" xfId="0"/>
    <xf numFmtId="0" fontId="0" fillId="0" borderId="3" pivotButton="0" quotePrefix="0" xfId="0"/>
    <xf numFmtId="0" fontId="9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top" wrapText="1"/>
    </xf>
    <xf numFmtId="0" fontId="10" fillId="7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center" vertical="center"/>
    </xf>
    <xf numFmtId="0" fontId="39" fillId="0" borderId="0" pivotButton="0" quotePrefix="0" xfId="0"/>
    <xf numFmtId="167" fontId="40" fillId="16" borderId="1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16" borderId="18" pivotButton="0" quotePrefix="0" xfId="0"/>
    <xf numFmtId="0" fontId="41" fillId="0" borderId="0" applyAlignment="1" pivotButton="0" quotePrefix="0" xfId="0">
      <alignment vertical="center" wrapText="1"/>
    </xf>
    <xf numFmtId="0" fontId="42" fillId="17" borderId="18" applyAlignment="1" pivotButton="0" quotePrefix="0" xfId="0">
      <alignment horizontal="center" vertical="center" wrapText="1"/>
    </xf>
    <xf numFmtId="0" fontId="42" fillId="18" borderId="18" pivotButton="0" quotePrefix="0" xfId="0"/>
    <xf numFmtId="0" fontId="0" fillId="18" borderId="18" pivotButton="0" quotePrefix="0" xfId="0"/>
    <xf numFmtId="0" fontId="43" fillId="19" borderId="18" applyAlignment="1" pivotButton="0" quotePrefix="0" xfId="0">
      <alignment horizontal="left" vertical="center" wrapText="1"/>
    </xf>
    <xf numFmtId="0" fontId="43" fillId="19" borderId="18" applyAlignment="1" pivotButton="0" quotePrefix="0" xfId="0">
      <alignment horizontal="center" vertical="center" wrapText="1"/>
    </xf>
    <xf numFmtId="0" fontId="39" fillId="19" borderId="18" applyAlignment="1" pivotButton="0" quotePrefix="0" xfId="0">
      <alignment horizontal="center" vertical="center" wrapText="1"/>
    </xf>
    <xf numFmtId="0" fontId="39" fillId="19" borderId="18" applyAlignment="1" pivotButton="0" quotePrefix="0" xfId="0">
      <alignment horizontal="left" vertical="center" wrapText="1"/>
    </xf>
    <xf numFmtId="0" fontId="44" fillId="23" borderId="18" applyAlignment="1" pivotButton="0" quotePrefix="0" xfId="0">
      <alignment horizontal="left" vertical="center" wrapText="1"/>
    </xf>
    <xf numFmtId="0" fontId="39" fillId="20" borderId="18" applyAlignment="1" pivotButton="0" quotePrefix="0" xfId="0">
      <alignment horizontal="center" vertical="center" wrapText="1"/>
    </xf>
    <xf numFmtId="0" fontId="39" fillId="21" borderId="18" applyAlignment="1" pivotButton="0" quotePrefix="0" xfId="0">
      <alignment horizontal="left" vertical="center" wrapText="1"/>
    </xf>
    <xf numFmtId="0" fontId="43" fillId="21" borderId="18" applyAlignment="1" pivotButton="0" quotePrefix="0" xfId="0">
      <alignment horizontal="center" vertical="center" wrapText="1"/>
    </xf>
    <xf numFmtId="0" fontId="44" fillId="19" borderId="18" applyAlignment="1" pivotButton="0" quotePrefix="0" xfId="0">
      <alignment horizontal="left" vertical="center" wrapText="1"/>
    </xf>
    <xf numFmtId="0" fontId="43" fillId="22" borderId="18" applyAlignment="1" pivotButton="0" quotePrefix="0" xfId="0">
      <alignment horizontal="left" vertical="center" wrapText="1"/>
    </xf>
    <xf numFmtId="0" fontId="43" fillId="22" borderId="18" applyAlignment="1" pivotButton="0" quotePrefix="0" xfId="0">
      <alignment horizontal="center" vertical="center" wrapText="1"/>
    </xf>
    <xf numFmtId="0" fontId="39" fillId="22" borderId="18" applyAlignment="1" pivotButton="0" quotePrefix="0" xfId="0">
      <alignment horizontal="left" vertical="center" wrapText="1"/>
    </xf>
    <xf numFmtId="0" fontId="4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64" fontId="22" fillId="4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 wrapText="1"/>
    </xf>
    <xf numFmtId="0" fontId="24" fillId="9" borderId="1" applyAlignment="1" pivotButton="0" quotePrefix="0" xfId="0">
      <alignment horizontal="general" vertical="bottom"/>
    </xf>
    <xf numFmtId="0" fontId="20" fillId="12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0" fontId="14" fillId="11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4" fillId="5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4" fillId="5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4" fillId="5" borderId="4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31" fillId="0" borderId="4" applyAlignment="1" pivotButton="0" quotePrefix="0" xfId="0">
      <alignment horizontal="general" vertical="bottom"/>
    </xf>
    <xf numFmtId="0" fontId="20" fillId="5" borderId="1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general" vertical="bottom"/>
    </xf>
    <xf numFmtId="0" fontId="24" fillId="5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33" fillId="15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general" vertical="bottom"/>
    </xf>
    <xf numFmtId="0" fontId="33" fillId="2" borderId="5" applyAlignment="1" pivotButton="0" quotePrefix="0" xfId="0">
      <alignment horizontal="center" vertical="center" wrapText="1"/>
    </xf>
    <xf numFmtId="0" fontId="34" fillId="2" borderId="6" applyAlignment="1" pivotButton="0" quotePrefix="0" xfId="0">
      <alignment horizontal="center" vertical="center" wrapText="1"/>
    </xf>
    <xf numFmtId="0" fontId="33" fillId="2" borderId="6" applyAlignment="1" pivotButton="0" quotePrefix="0" xfId="0">
      <alignment horizontal="center" vertical="center" wrapText="1"/>
    </xf>
    <xf numFmtId="0" fontId="35" fillId="0" borderId="7" applyAlignment="1" pivotButton="0" quotePrefix="0" xfId="0">
      <alignment horizontal="general" vertical="center"/>
    </xf>
    <xf numFmtId="0" fontId="35" fillId="0" borderId="8" applyAlignment="1" pivotButton="0" quotePrefix="0" xfId="0">
      <alignment horizontal="general" vertical="center"/>
    </xf>
    <xf numFmtId="0" fontId="35" fillId="0" borderId="9" applyAlignment="1" pivotButton="0" quotePrefix="0" xfId="0">
      <alignment horizontal="general" vertical="center"/>
    </xf>
    <xf numFmtId="0" fontId="36" fillId="0" borderId="10" applyAlignment="1" pivotButton="0" quotePrefix="0" xfId="0">
      <alignment horizontal="center" vertical="bottom"/>
    </xf>
    <xf numFmtId="165" fontId="37" fillId="4" borderId="10" applyAlignment="1" pivotButton="0" quotePrefix="0" xfId="0">
      <alignment horizontal="general" vertical="center"/>
    </xf>
    <xf numFmtId="0" fontId="37" fillId="4" borderId="10" applyAlignment="1" pivotButton="0" quotePrefix="0" xfId="0">
      <alignment horizontal="general" vertical="center"/>
    </xf>
    <xf numFmtId="0" fontId="37" fillId="10" borderId="10" applyAlignment="1" pivotButton="0" quotePrefix="0" xfId="0">
      <alignment horizontal="general" vertical="center"/>
    </xf>
    <xf numFmtId="0" fontId="35" fillId="0" borderId="11" applyAlignment="1" pivotButton="0" quotePrefix="0" xfId="0">
      <alignment horizontal="general" vertical="center"/>
    </xf>
    <xf numFmtId="0" fontId="35" fillId="0" borderId="10" applyAlignment="1" pivotButton="0" quotePrefix="0" xfId="0">
      <alignment horizontal="general" vertical="center"/>
    </xf>
    <xf numFmtId="0" fontId="35" fillId="0" borderId="12" applyAlignment="1" pivotButton="0" quotePrefix="0" xfId="0">
      <alignment horizontal="general" vertical="center"/>
    </xf>
    <xf numFmtId="166" fontId="35" fillId="0" borderId="10" applyAlignment="1" pivotButton="0" quotePrefix="0" xfId="0">
      <alignment horizontal="left" vertical="center"/>
    </xf>
    <xf numFmtId="0" fontId="35" fillId="0" borderId="13" applyAlignment="1" pivotButton="0" quotePrefix="0" xfId="0">
      <alignment horizontal="general" vertical="center"/>
    </xf>
    <xf numFmtId="0" fontId="35" fillId="0" borderId="14" applyAlignment="1" pivotButton="0" quotePrefix="0" xfId="0">
      <alignment horizontal="general" vertical="center"/>
    </xf>
    <xf numFmtId="0" fontId="35" fillId="0" borderId="15" applyAlignment="1" pivotButton="0" quotePrefix="0" xfId="0">
      <alignment horizontal="general" vertical="center"/>
    </xf>
    <xf numFmtId="0" fontId="35" fillId="0" borderId="0" applyAlignment="1" pivotButton="0" quotePrefix="0" xfId="0">
      <alignment horizontal="general" vertical="center"/>
    </xf>
    <xf numFmtId="166" fontId="35" fillId="0" borderId="0" applyAlignment="1" pivotButton="0" quotePrefix="0" xfId="0">
      <alignment horizontal="general" vertical="center"/>
    </xf>
    <xf numFmtId="0" fontId="4" fillId="4" borderId="0" applyAlignment="1" pivotButton="0" quotePrefix="0" xfId="0">
      <alignment horizontal="general" vertical="bottom" wrapText="1"/>
    </xf>
    <xf numFmtId="0" fontId="0" fillId="0" borderId="22" pivotButton="0" quotePrefix="0" xfId="0"/>
    <xf numFmtId="0" fontId="0" fillId="0" borderId="21" pivotButton="0" quotePrefix="0" xfId="0"/>
    <xf numFmtId="0" fontId="43" fillId="19" borderId="18" applyAlignment="1" pivotButton="0" quotePrefix="0" xfId="0">
      <alignment horizontal="center" vertical="center"/>
    </xf>
    <xf numFmtId="0" fontId="43" fillId="21" borderId="18" applyAlignment="1" pivotButton="0" quotePrefix="0" xfId="0">
      <alignment horizontal="center" vertical="center"/>
    </xf>
    <xf numFmtId="0" fontId="44" fillId="24" borderId="18" applyAlignment="1" pivotButton="0" quotePrefix="0" xfId="0">
      <alignment horizontal="left" vertical="center" wrapText="1"/>
    </xf>
    <xf numFmtId="0" fontId="43" fillId="24" borderId="18" applyAlignment="1" pivotButton="0" quotePrefix="0" xfId="0">
      <alignment horizontal="left" vertical="center" wrapText="1"/>
    </xf>
    <xf numFmtId="0" fontId="43" fillId="24" borderId="18" applyAlignment="1" pivotButton="0" quotePrefix="0" xfId="0">
      <alignment horizontal="center" vertical="center"/>
    </xf>
    <xf numFmtId="0" fontId="39" fillId="24" borderId="18" applyAlignment="1" pivotButton="0" quotePrefix="0" xfId="0">
      <alignment horizontal="left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0B0B0"/>
      <rgbColor rgb="FF8A8A8A"/>
      <rgbColor rgb="FF5B9BD5"/>
      <rgbColor rgb="FF993366"/>
      <rgbColor rgb="FFFFF2CC"/>
      <rgbColor rgb="FFE7F3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6EFCE"/>
      <rgbColor rgb="FFE2EFDA"/>
      <rgbColor rgb="FF9DC3E6"/>
      <rgbColor rgb="FFF2F2F2"/>
      <rgbColor rgb="FFDDEBF7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A6A6A6"/>
      <rgbColor rgb="FF1F4E78"/>
      <rgbColor rgb="FF339966"/>
      <rgbColor rgb="FF003300"/>
      <rgbColor rgb="FF333300"/>
      <rgbColor rgb="FF993300"/>
      <rgbColor rgb="FF993366"/>
      <rgbColor rgb="FF1F4E7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EmployeeMasterTable" displayName="EmployeeMasterTable" ref="A1:AD159" headerRowCount="1" totalsRowCount="0" totalsRowShown="0">
  <autoFilter ref="A1:AD159"/>
  <tableColumns count="30">
    <tableColumn id="1" name="Employee ID"/>
    <tableColumn id="2" name="Employee Name"/>
    <tableColumn id="3" name="Shift"/>
    <tableColumn id="4" name="Days Off"/>
    <tableColumn id="5" name="Lead"/>
    <tableColumn id="6" name="Mentor"/>
    <tableColumn id="7" name="Active"/>
    <tableColumn id="8" name="Lunch Preference"/>
    <tableColumn id="9" name="Information Desk"/>
    <tableColumn id="10" name="Main Inside"/>
    <tableColumn id="11" name="Survey"/>
    <tableColumn id="12" name="Divest"/>
    <tableColumn id="13" name="Assignment Rule"/>
    <tableColumn id="14" name="Fixed All-Shift Position"/>
    <tableColumn id="15" name="Day-Specific Restrictions"/>
    <tableColumn id="16" name="Trainee Y/N"/>
    <tableColumn id="17" name="Assigned Mentor"/>
    <tableColumn id="18" name="3:45 Opening Position"/>
    <tableColumn id="19" name="After 5:45 Position"/>
    <tableColumn id="20" name="Mobility Restriction Y/N"/>
    <tableColumn id="21" name="Scheduled Today?"/>
    <tableColumn id="22" name="AM Regular Pool?"/>
    <tableColumn id="23" name="PM Regular Pool?"/>
    <tableColumn id="24" name="Training Start Date"/>
    <tableColumn id="25" name="Completion Approved?"/>
    <tableColumn id="26" name="Completion Date"/>
    <tableColumn id="27" name="Training Notes"/>
    <tableColumn id="28" name="Training Status"/>
    <tableColumn id="29" name="v3 Approved Absence?"/>
    <tableColumn id="30" name="v3 Available?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7" activeCellId="0" sqref="F17"/>
    </sheetView>
  </sheetViews>
  <sheetFormatPr baseColWidth="8" defaultColWidth="9.109375" defaultRowHeight="14.25" zeroHeight="0" outlineLevelRow="0"/>
  <cols>
    <col width="18" customWidth="1" style="119" min="1" max="3"/>
    <col width="29.66" customWidth="1" style="119" min="4" max="6"/>
    <col width="9.109999999999999" customWidth="1" style="119" min="7" max="16384"/>
  </cols>
  <sheetData>
    <row r="1" ht="20.25" customHeight="1" s="120">
      <c r="A1" s="121" t="inlineStr">
        <is>
          <t>ATL EMPLOYEE SCHEDULER 3.1 — PHASE 2 (AM ENGINE)</t>
        </is>
      </c>
    </row>
    <row r="3" ht="15" customHeight="1" s="120">
      <c r="A3" s="122" t="inlineStr">
        <is>
          <t>Schedule Date</t>
        </is>
      </c>
      <c r="B3" s="123" t="n">
        <v>46264</v>
      </c>
      <c r="D3" s="122" t="inlineStr">
        <is>
          <t>BASELINE RULES</t>
        </is>
      </c>
    </row>
    <row r="4" ht="15" customHeight="1" s="120">
      <c r="A4" s="122" t="inlineStr">
        <is>
          <t>AM Surveys Needed?</t>
        </is>
      </c>
      <c r="B4" s="124" t="inlineStr">
        <is>
          <t>Y</t>
        </is>
      </c>
      <c r="D4" s="125" t="inlineStr">
        <is>
          <t>Fill all 43 Client Required slots before playbook-only positions.</t>
        </is>
      </c>
    </row>
    <row r="5" ht="15" customHeight="1" s="120">
      <c r="A5" s="122" t="inlineStr">
        <is>
          <t>PM Surveys Needed?</t>
        </is>
      </c>
      <c r="B5" s="124" t="inlineStr">
        <is>
          <t>Y</t>
        </is>
      </c>
      <c r="D5" s="125" t="inlineStr">
        <is>
          <t>Leads excluded from designated posts and break relief.</t>
        </is>
      </c>
    </row>
    <row r="6" ht="15" customHeight="1" s="120">
      <c r="A6" s="122" t="inlineStr">
        <is>
          <t>Required Client Slots</t>
        </is>
      </c>
      <c r="B6" s="119" t="n">
        <v>43</v>
      </c>
      <c r="D6" s="125" t="inlineStr">
        <is>
          <t>Main Inside requires qualification = Y.</t>
        </is>
      </c>
    </row>
    <row r="7" ht="15" customHeight="1" s="120">
      <c r="A7" s="122" t="inlineStr">
        <is>
          <t>Physical Positions</t>
        </is>
      </c>
      <c r="B7" s="119" t="n">
        <v>39</v>
      </c>
      <c r="D7" s="125" t="inlineStr">
        <is>
          <t>Fixed/day-specific/mobility/wheelchair restrictions are hard controls.</t>
        </is>
      </c>
    </row>
    <row r="8" ht="15" customHeight="1" s="120">
      <c r="A8" s="122" t="inlineStr">
        <is>
          <t>Survey Slots</t>
        </is>
      </c>
      <c r="B8" s="119" t="n">
        <v>4</v>
      </c>
      <c r="D8" s="125" t="inlineStr">
        <is>
          <t>Mentor + trainee are one same-shift staffing unit.</t>
        </is>
      </c>
    </row>
    <row r="9" ht="14.25" customHeight="1" s="120">
      <c r="D9" s="125" t="inlineStr">
        <is>
          <t>AM honors HARD 3:45 OPEN and START 5:45.</t>
        </is>
      </c>
    </row>
    <row r="10" ht="14.25" customHeight="1" s="120">
      <c r="A10" s="119" t="inlineStr">
        <is>
          <t>Phase Status:</t>
        </is>
      </c>
      <c r="B10" s="119" t="inlineStr">
        <is>
          <t>Limited in-zone tap-outs: 1 per Main/South/North/LN/Divest. Breaks still with leads.</t>
        </is>
      </c>
      <c r="D10" s="125" t="inlineStr">
        <is>
          <t>PM honors 12:15 / 2:00 handoff rules.</t>
        </is>
      </c>
    </row>
    <row r="11" ht="14.25" customHeight="1" s="120">
      <c r="A11" s="119" t="inlineStr">
        <is>
          <t>Next:</t>
        </is>
      </c>
      <c r="B11" s="119" t="inlineStr">
        <is>
          <t>3:45 cycles to easier same-zone post; 5:45 covers the demanding open.</t>
        </is>
      </c>
      <c r="D11" s="125" t="inlineStr">
        <is>
          <t>Relief configuration remains editable; Rover/Relief is allowed.</t>
        </is>
      </c>
    </row>
    <row r="12" ht="105" customHeight="1" s="120">
      <c r="A12" s="126" t="inlineStr">
        <is>
          <t>OFFICIAL OUTPUT FORMAT: Client Assignment Sheet + Operations Playbook match lead-familiar templates; do not restyle.</t>
        </is>
      </c>
      <c r="B12" s="126" t="n"/>
      <c r="C12" s="126" t="n"/>
      <c r="D12" s="126" t="inlineStr">
        <is>
          <t>Phase 1: Data foundation only. No VBA. Self-contained (no external links). AM engine next.</t>
        </is>
      </c>
    </row>
    <row r="13" ht="14.25" customHeight="1" s="120">
      <c r="A13" s="119" t="inlineStr">
        <is>
          <t>HOW TO RECALC AFTER CHANGING DATE:</t>
        </is>
      </c>
    </row>
    <row r="14" ht="14.25" customHeight="1" s="120">
      <c r="A14" s="127" t="inlineStr">
        <is>
          <t>HOW MANAGERS USE THIS SHARED FILE (OneDrive — no macros)</t>
        </is>
      </c>
      <c r="B14" s="128" t="n"/>
      <c r="C14" s="128" t="n"/>
      <c r="D14" s="128" t="n"/>
      <c r="E14" s="128" t="n"/>
      <c r="F14" s="129" t="n"/>
    </row>
    <row r="15" ht="18" customHeight="1" s="120">
      <c r="A15" s="130" t="inlineStr">
        <is>
          <t>ROLES</t>
        </is>
      </c>
      <c r="B15" s="128" t="n"/>
      <c r="C15" s="128" t="n"/>
      <c r="D15" s="128" t="n"/>
      <c r="E15" s="128" t="n"/>
      <c r="F15" s="129" t="n"/>
    </row>
    <row r="16" ht="31.5" customHeight="1" s="120">
      <c r="A16" s="131" t="inlineStr">
        <is>
          <t>• Schedule owner (1–2 people): maintains Employee Master &amp; Approved Absences; requests/runs assignment rebuild when the date or roster changes materially.</t>
        </is>
      </c>
    </row>
    <row r="17" ht="31.5" customHeight="1" s="120">
      <c r="A17" s="131" t="inlineStr">
        <is>
          <t>• Floor leads / managers: set or confirm Schedule Date; read AM/PM Operations Playbooks; adjust individual posts via dropdowns if needed; print for the shift.</t>
        </is>
      </c>
    </row>
    <row r="18" ht="6" customHeight="1" s="120">
      <c r="A18" s="119" t="n"/>
    </row>
    <row r="19" ht="18" customHeight="1" s="120">
      <c r="A19" s="130" t="inlineStr">
        <is>
          <t>DAILY STEPS</t>
        </is>
      </c>
      <c r="B19" s="128" t="n"/>
      <c r="C19" s="128" t="n"/>
      <c r="D19" s="128" t="n"/>
      <c r="E19" s="128" t="n"/>
      <c r="F19" s="129" t="n"/>
    </row>
    <row r="20" ht="31.5" customHeight="1" s="120">
      <c r="A20" s="131" t="inlineStr">
        <is>
          <t>1. Open this workbook from OneDrive in desktop Excel (best formula reliability). Excel for the web may not recalculate everything the same way.</t>
        </is>
      </c>
    </row>
    <row r="21" ht="31.5" customHeight="1" s="120">
      <c r="A21" s="131" t="inlineStr">
        <is>
          <t>2. Set Schedule Date in Control Center (yellow cell). Confirm AM Surveys / PM Surveys flags and Pax if used.</t>
        </is>
      </c>
    </row>
    <row r="22" ht="31.5" customHeight="1" s="120">
      <c r="A22" s="131" t="inlineStr">
        <is>
          <t>3. Ensure Formulas → Calculation Options → Automatic. Pools and Available flags should update with the date (no macros).</t>
        </is>
      </c>
    </row>
    <row r="23" ht="31.5" customHeight="1" s="120">
      <c r="A23" s="131" t="inlineStr">
        <is>
          <t>4. Check AM Pool / PM Pool sheets — filter column A = Y and confirm headcount looks right for the day.</t>
        </is>
      </c>
    </row>
    <row r="24" ht="31.5" customHeight="1" s="120">
      <c r="A24" s="131" t="inlineStr">
        <is>
          <t>5. Use the current AM Operations Playbook and PM Operations Playbook for assignments. Right side = full ops after reinforcement/handoff.</t>
        </is>
      </c>
    </row>
    <row r="25" ht="31.5" customHeight="1" s="120">
      <c r="A25" s="131" t="inlineStr">
        <is>
          <t>6. Optional: tweak a name using the dropdown on a playbook cell if someone calls out or swaps. Do not invent posts outside the playbook structure.</t>
        </is>
      </c>
    </row>
    <row r="26" ht="31.5" customHeight="1" s="120">
      <c r="A26" s="131" t="inlineStr">
        <is>
          <t>7. Print the playbook (letter, fit width; remove extra scaling if print preview looks wrong).</t>
        </is>
      </c>
    </row>
    <row r="27" ht="6" customHeight="1" s="120">
      <c r="A27" s="119" t="n"/>
    </row>
    <row r="28" ht="18" customHeight="1" s="120">
      <c r="A28" s="130" t="inlineStr">
        <is>
          <t>WHAT UPDATES AUTOMATICALLY vs WHAT DOES NOT</t>
        </is>
      </c>
      <c r="B28" s="128" t="n"/>
      <c r="C28" s="128" t="n"/>
      <c r="D28" s="128" t="n"/>
      <c r="E28" s="128" t="n"/>
      <c r="F28" s="129" t="n"/>
    </row>
    <row r="29" ht="31.5" customHeight="1" s="120">
      <c r="A29" s="132" t="inlineStr">
        <is>
          <t>AUTOMATIC with date change (formulas): Scheduled Today?, Available Today?, AM/PM Pool eligibility, absence checks tied to the date.</t>
        </is>
      </c>
    </row>
    <row r="30" ht="31.5" customHeight="1" s="120">
      <c r="A30" s="132" t="inlineStr">
        <is>
          <t>AUTOMATIC with date change (formulas): Scheduled/Available, Live Pools ranks, AM playbook names (INDEX into Live Pools).</t>
        </is>
      </c>
    </row>
    <row r="31" ht="31.5" customHeight="1" s="120">
      <c r="A31" s="133" t="inlineStr">
        <is>
          <t>Still may need manual touch: mid-day call-outs (use dropdown or type over), PM playbook until converted the same way, lunch relief matrix.</t>
        </is>
      </c>
    </row>
    <row r="32" ht="6" customHeight="1" s="120">
      <c r="A32" s="119" t="n"/>
    </row>
    <row r="33" ht="18" customHeight="1" s="120">
      <c r="A33" s="130" t="inlineStr">
        <is>
          <t>IMPORTANT RULES</t>
        </is>
      </c>
      <c r="B33" s="128" t="n"/>
      <c r="C33" s="128" t="n"/>
      <c r="D33" s="128" t="n"/>
      <c r="E33" s="128" t="n"/>
      <c r="F33" s="129" t="n"/>
    </row>
    <row r="34" ht="31.5" customHeight="1" s="120">
      <c r="A34" s="131" t="inlineStr">
        <is>
          <t>• Client Assignment Sheet must only reflect people already assigned on AM/PM playbooks — never assign only on the client sheet.</t>
        </is>
      </c>
    </row>
    <row r="35" ht="31.5" customHeight="1" s="120">
      <c r="A35" s="131" t="inlineStr">
        <is>
          <t>• One Employee Master only. Do not create personal copies of the roster for “testing” in the shared file.</t>
        </is>
      </c>
    </row>
    <row r="36" ht="31.5" customHeight="1" s="120">
      <c r="A36" s="131" t="inlineStr">
        <is>
          <t>• No macros by design — this file stays .xlsx so OneDrive sharing and co-authoring remain reliable.</t>
        </is>
      </c>
    </row>
    <row r="37" ht="31.5" customHeight="1" s="120">
      <c r="A37" s="131" t="inlineStr">
        <is>
          <t>• Leads do not take normal posts. Survey-qualified staff are reserved for survey seats when the survey flag is Y.</t>
        </is>
      </c>
    </row>
    <row r="38" ht="31.5" customHeight="1" s="120">
      <c r="A38" s="131" t="inlineStr">
        <is>
          <t>• PM handoff follows AM full-ops person: 3:45 still on post → 12:15 replaces; 5:45 still on post → 2:00 replaces.</t>
        </is>
      </c>
    </row>
    <row r="39" ht="6" customHeight="1" s="120">
      <c r="A39" s="119" t="n"/>
    </row>
    <row r="40" ht="18" customHeight="1" s="120">
      <c r="A40" s="130" t="inlineStr">
        <is>
          <t>NEED A REBUILD?</t>
        </is>
      </c>
      <c r="B40" s="128" t="n"/>
      <c r="C40" s="128" t="n"/>
      <c r="D40" s="128" t="n"/>
      <c r="E40" s="128" t="n"/>
      <c r="F40" s="129" t="n"/>
    </row>
    <row r="41" ht="31.5" customHeight="1" s="120">
      <c r="A41" s="131" t="inlineStr">
        <is>
          <t>Contact the schedule owner if: new date, large absence list, survey flag flipped, or playbook still shows yesterday’s names after the date change.</t>
        </is>
      </c>
    </row>
    <row r="42" ht="31.5" customHeight="1" s="120">
      <c r="A42" s="131" t="inlineStr">
        <is>
          <t>Owners: change date → confirm pools → rebuild AM then PM engines → save to OneDrive. Managers do not need Ctrl+Alt+F5 for normal reading if Automatic calc is on.</t>
        </is>
      </c>
    </row>
  </sheetData>
  <mergeCells count="40">
    <mergeCell ref="A41:F41"/>
    <mergeCell ref="A16:F16"/>
    <mergeCell ref="D11:F11"/>
    <mergeCell ref="A37:F37"/>
    <mergeCell ref="A27:F27"/>
    <mergeCell ref="A18:F18"/>
    <mergeCell ref="A26:F26"/>
    <mergeCell ref="D7:F7"/>
    <mergeCell ref="A21:F21"/>
    <mergeCell ref="A33:F33"/>
    <mergeCell ref="A42:F42"/>
    <mergeCell ref="A14:F14"/>
    <mergeCell ref="D4:F4"/>
    <mergeCell ref="A23:F23"/>
    <mergeCell ref="A32:F32"/>
    <mergeCell ref="D12:F12"/>
    <mergeCell ref="D3:F3"/>
    <mergeCell ref="D9:F9"/>
    <mergeCell ref="A17:F17"/>
    <mergeCell ref="A22:F22"/>
    <mergeCell ref="A35:F35"/>
    <mergeCell ref="A20:F20"/>
    <mergeCell ref="D8:F8"/>
    <mergeCell ref="A29:F29"/>
    <mergeCell ref="A38:F38"/>
    <mergeCell ref="A28:F28"/>
    <mergeCell ref="D5:F5"/>
    <mergeCell ref="A19:F19"/>
    <mergeCell ref="A31:F31"/>
    <mergeCell ref="A34:F34"/>
    <mergeCell ref="A40:F40"/>
    <mergeCell ref="A30:F30"/>
    <mergeCell ref="A39:F39"/>
    <mergeCell ref="A15:F15"/>
    <mergeCell ref="D10:F10"/>
    <mergeCell ref="A24:F24"/>
    <mergeCell ref="A36:F36"/>
    <mergeCell ref="A1:F1"/>
    <mergeCell ref="D6:F6"/>
    <mergeCell ref="A25:F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34" min="1" max="1"/>
    <col width="78" customWidth="1" style="134" min="2" max="2"/>
  </cols>
  <sheetData>
    <row r="1" ht="24" customHeight="1" s="120">
      <c r="A1" s="135" t="inlineStr">
        <is>
          <t>MANAGER RUN SHEET — DAILY PLAYBOOK</t>
        </is>
      </c>
    </row>
    <row r="3" ht="15" customHeight="1" s="120">
      <c r="A3" s="136" t="inlineStr">
        <is>
          <t>Step</t>
        </is>
      </c>
      <c r="B3" s="136" t="inlineStr">
        <is>
          <t>Action</t>
        </is>
      </c>
    </row>
    <row r="4" ht="25.5" customHeight="1" s="120">
      <c r="A4" s="137" t="inlineStr">
        <is>
          <t>1. SET DATE</t>
        </is>
      </c>
      <c r="B4" s="138" t="inlineStr">
        <is>
          <t>Control Center → set Schedule Date (B3) to the operating day.</t>
        </is>
      </c>
    </row>
    <row r="5" ht="25.5" customHeight="1" s="120">
      <c r="A5" s="137" t="inlineStr">
        <is>
          <t>2. SURVEYS</t>
        </is>
      </c>
      <c r="B5" s="138" t="inlineStr">
        <is>
          <t>Set AM Surveys (B4) and PM Surveys (B5) to Y or N.</t>
        </is>
      </c>
    </row>
    <row r="6" ht="25.5" customHeight="1" s="120">
      <c r="A6" s="137" t="inlineStr">
        <is>
          <t>3. ABSENCES</t>
        </is>
      </c>
      <c r="B6" s="138" t="inlineStr">
        <is>
          <t>Add call-outs / approved time off on Approved Absences (name, start, end).</t>
        </is>
      </c>
    </row>
    <row r="7" ht="25.5" customHeight="1" s="120">
      <c r="A7" s="137" t="inlineStr">
        <is>
          <t>4. RECALC</t>
        </is>
      </c>
      <c r="B7" s="138" t="inlineStr">
        <is>
          <t>Ctrl+Alt+F5 (or Data → Calculate Now) so pools refresh.</t>
        </is>
      </c>
    </row>
    <row r="8" ht="25.5" customHeight="1" s="120">
      <c r="A8" s="137" t="inlineStr">
        <is>
          <t>5. CHECK POOLS</t>
        </is>
      </c>
      <c r="B8" s="138" t="inlineStr">
        <is>
          <t>AM Pool / PM Pool → filter column A = Y. Confirm headcount.</t>
        </is>
      </c>
    </row>
    <row r="9" ht="25.5" customHeight="1" s="120">
      <c r="A9" s="137" t="inlineStr">
        <is>
          <t>6. AM PLAYBOOK</t>
        </is>
      </c>
      <c r="B9" s="138" t="inlineStr">
        <is>
          <t>Confirm HARD 3:45 opens, full ops right side, lunch/notes.</t>
        </is>
      </c>
    </row>
    <row r="10" ht="25.5" customHeight="1" s="120">
      <c r="A10" s="137" t="inlineStr">
        <is>
          <t>7. PM PLAYBOOK</t>
        </is>
      </c>
      <c r="B10" s="138" t="inlineStr">
        <is>
          <t>Confirm handoff: 3:45 full-ops → 12:15; 5:45 full-ops → 2:00.</t>
        </is>
      </c>
    </row>
    <row r="11" ht="25.5" customHeight="1" s="120">
      <c r="A11" s="137" t="inlineStr">
        <is>
          <t>8. BREAKS</t>
        </is>
      </c>
      <c r="B11" s="138" t="inlineStr">
        <is>
          <t>Leads manage lunches in-zone. Break Coverage sheets are parked.</t>
        </is>
      </c>
    </row>
    <row r="12" ht="25.5" customHeight="1" s="120">
      <c r="A12" s="137" t="inlineStr">
        <is>
          <t>9. CLIENT OUTPUT</t>
        </is>
      </c>
      <c r="B12" s="138" t="inlineStr">
        <is>
          <t>Client Assignment Sheet → print AM block or PM block for client.</t>
        </is>
      </c>
    </row>
    <row r="13" ht="25.5" customHeight="1" s="120">
      <c r="A13" s="137" t="inlineStr">
        <is>
          <t>10. PRINT</t>
        </is>
      </c>
      <c r="B13" s="138" t="inlineStr">
        <is>
          <t>Print Preview; fit width 1 page. Clear extra scaling if text is tiny.</t>
        </is>
      </c>
    </row>
    <row r="14" ht="25.5" customHeight="1" s="120">
      <c r="A14" s="137" t="inlineStr">
        <is>
          <t>11. LEADS</t>
        </is>
      </c>
      <c r="B14" s="138" t="inlineStr">
        <is>
          <t>Enter lead names in yellow Leads box on AM and PM playbooks.</t>
        </is>
      </c>
    </row>
    <row r="15" ht="25.5" customHeight="1" s="120">
      <c r="A15" s="137" t="inlineStr">
        <is>
          <t>12. OVERRIDES</t>
        </is>
      </c>
      <c r="B15" s="138" t="inlineStr">
        <is>
          <t>Use name dropdowns on playbooks only; then refresh client sheet if needed.</t>
        </is>
      </c>
    </row>
    <row r="16" ht="25.5" customHeight="1" s="120">
      <c r="A16" s="137" t="inlineStr">
        <is>
          <t>13. VALIDATE</t>
        </is>
      </c>
      <c r="B16" s="138" t="inlineStr">
        <is>
          <t>Validation sheet — tick checklist; resolve orange duplicate flags.</t>
        </is>
      </c>
    </row>
    <row r="17" ht="25.5" customHeight="1" s="120">
      <c r="A17" s="137" t="inlineStr">
        <is>
          <t>14. ARCHIVE</t>
        </is>
      </c>
      <c r="B17" s="138" t="inlineStr">
        <is>
          <t>File → Save As dated copy (e.g. ATL_Playbook_2026-08-26.xlsx).</t>
        </is>
      </c>
    </row>
    <row r="19" ht="15" customHeight="1" s="120">
      <c r="A19" s="139" t="inlineStr">
        <is>
          <t>IMPORTANT</t>
        </is>
      </c>
    </row>
    <row r="20" ht="63.75" customHeight="1" s="120">
      <c r="A20" s="140" t="inlineStr">
        <is>
          <t>• Client Assignment Sheet never invents names — only Playbooks assign.
• Do not overwrite Employee Master pool formulas.
• Call-outs go to Approved Absences → Recalc → re-check playbooks.
• UNFILLED on a required post = fill from dropdown or call in coverage.</t>
        </is>
      </c>
    </row>
    <row r="22" ht="15" customHeight="1" s="120">
      <c r="A22" s="141" t="inlineStr">
        <is>
          <t>SHEET MAP</t>
        </is>
      </c>
    </row>
    <row r="23" ht="15" customHeight="1" s="120">
      <c r="A23" s="136" t="inlineStr">
        <is>
          <t>Sheet</t>
        </is>
      </c>
      <c r="B23" s="136" t="inlineStr">
        <is>
          <t>Purpose</t>
        </is>
      </c>
    </row>
    <row r="24" ht="15" customHeight="1" s="120">
      <c r="A24" s="142" t="inlineStr">
        <is>
          <t>Control Center</t>
        </is>
      </c>
      <c r="B24" s="143" t="inlineStr">
        <is>
          <t>Date, survey switches</t>
        </is>
      </c>
    </row>
    <row r="25" ht="15" customHeight="1" s="120">
      <c r="A25" s="142" t="inlineStr">
        <is>
          <t>Manager Run Sheet</t>
        </is>
      </c>
      <c r="B25" s="143" t="inlineStr">
        <is>
          <t>This daily checklist</t>
        </is>
      </c>
    </row>
    <row r="26" ht="15" customHeight="1" s="120">
      <c r="A26" s="142" t="inlineStr">
        <is>
          <t>Validation</t>
        </is>
      </c>
      <c r="B26" s="143" t="inlineStr">
        <is>
          <t>Pass/fail + live pool counts</t>
        </is>
      </c>
    </row>
    <row r="27" ht="15" customHeight="1" s="120">
      <c r="A27" s="142" t="inlineStr">
        <is>
          <t>Client Assignment Sheet</t>
        </is>
      </c>
      <c r="B27" s="143" t="inlineStr">
        <is>
          <t>AM/PM views for client (from playbooks)</t>
        </is>
      </c>
    </row>
    <row r="28" ht="15" customHeight="1" s="120">
      <c r="A28" s="142" t="inlineStr">
        <is>
          <t>AM / PM Operations Playbook</t>
        </is>
      </c>
      <c r="B28" s="143" t="inlineStr">
        <is>
          <t>Daily assignments</t>
        </is>
      </c>
    </row>
    <row r="29" ht="15" customHeight="1" s="120">
      <c r="A29" s="142" t="inlineStr">
        <is>
          <t>Break Coverage / PM Break Coverage</t>
        </is>
      </c>
      <c r="B29" s="143" t="inlineStr">
        <is>
          <t>Lunch relief matrices</t>
        </is>
      </c>
    </row>
    <row r="30" ht="15" customHeight="1" s="120">
      <c r="A30" s="142" t="inlineStr">
        <is>
          <t>AM Pool / PM Pool</t>
        </is>
      </c>
      <c r="B30" s="143" t="inlineStr">
        <is>
          <t>Eligible today</t>
        </is>
      </c>
    </row>
    <row r="31" ht="15" customHeight="1" s="120">
      <c r="A31" s="142" t="inlineStr">
        <is>
          <t>Employee Master</t>
        </is>
      </c>
      <c r="B31" s="143" t="inlineStr">
        <is>
          <t>People, quals, shifts</t>
        </is>
      </c>
    </row>
    <row r="32" ht="15" customHeight="1" s="120">
      <c r="A32" s="142" t="inlineStr">
        <is>
          <t>Approved Absences</t>
        </is>
      </c>
      <c r="B32" s="143" t="inlineStr">
        <is>
          <t>Time off / call-outs</t>
        </is>
      </c>
    </row>
    <row r="33" ht="15" customHeight="1" s="120">
      <c r="A33" s="142" t="inlineStr">
        <is>
          <t>Position Library</t>
        </is>
      </c>
      <c r="B33" s="143" t="inlineStr">
        <is>
          <t>HARD open, PM handoff rules</t>
        </is>
      </c>
    </row>
    <row r="34" ht="15" customHeight="1" s="120">
      <c r="A34" s="142" t="inlineStr">
        <is>
          <t>Break Relief Guide</t>
        </is>
      </c>
      <c r="B34" s="143" t="inlineStr">
        <is>
          <t>Who covers whose lunch</t>
        </is>
      </c>
    </row>
  </sheetData>
  <mergeCells count="2">
    <mergeCell ref="A20:B20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style="120" min="1" max="1"/>
    <col width="10" customWidth="1" style="120" min="2" max="2"/>
    <col width="26" customWidth="1" style="120" min="3" max="3"/>
    <col width="18" customWidth="1" style="120" min="4" max="4"/>
    <col width="10" customWidth="1" style="120" min="5" max="5"/>
    <col width="36" customWidth="1" style="120" min="6" max="6"/>
  </cols>
  <sheetData>
    <row r="1" ht="20" customHeight="1" s="120">
      <c r="A1" s="144" t="inlineStr">
        <is>
          <t>PM OPERATIONS PLAYBOOK — POSITION FLOW</t>
        </is>
      </c>
    </row>
    <row r="2" ht="16" customHeight="1" s="120">
      <c r="A2" s="145" t="inlineStr">
        <is>
          <t>Date:</t>
        </is>
      </c>
      <c r="B2" s="146">
        <f>'Control Center'!B3</f>
        <v/>
      </c>
      <c r="C2" s="241" t="n"/>
      <c r="D2" s="145" t="inlineStr">
        <is>
          <t>Pax:</t>
        </is>
      </c>
      <c r="E2" s="148" t="n"/>
    </row>
    <row r="3" ht="28" customHeight="1" s="120">
      <c r="A3" s="145" t="inlineStr">
        <is>
          <t>Leads:</t>
        </is>
      </c>
      <c r="B3" s="148" t="n"/>
      <c r="C3" s="242" t="n"/>
      <c r="D3" s="242" t="n"/>
      <c r="E3" s="242" t="n"/>
      <c r="F3" s="241" t="n"/>
    </row>
    <row r="4" ht="28" customHeight="1" s="120">
      <c r="A4" s="149" t="inlineStr">
        <is>
          <t>Leads manage breaks in-zone. Handoff follows AM FULL OPS (right side after any tap-out): 3:45 still on post → 12:15 · 5:45 on post → 2:00.</t>
        </is>
      </c>
    </row>
    <row r="5" ht="16" customHeight="1" s="120">
      <c r="A5" s="150" t="inlineStr">
        <is>
          <t>Name (12:15)</t>
        </is>
      </c>
      <c r="B5" s="150" t="inlineStr">
        <is>
          <t>Shift</t>
        </is>
      </c>
      <c r="C5" s="150" t="inlineStr">
        <is>
          <t>POSITION</t>
        </is>
      </c>
      <c r="D5" s="150" t="inlineStr">
        <is>
          <t>Full ops name</t>
        </is>
      </c>
      <c r="E5" s="150" t="inlineStr">
        <is>
          <t>Shift</t>
        </is>
      </c>
      <c r="F5" s="150" t="inlineStr">
        <is>
          <t>Notes</t>
        </is>
      </c>
    </row>
    <row r="6" ht="14" customHeight="1" s="120">
      <c r="A6" s="151" t="inlineStr">
        <is>
          <t>MAIN SECURITY CHECKPOINT</t>
        </is>
      </c>
      <c r="B6" s="242" t="n"/>
      <c r="C6" s="242" t="n"/>
      <c r="D6" s="242" t="n"/>
      <c r="E6" s="242" t="n"/>
      <c r="F6" s="241" t="n"/>
    </row>
    <row r="7" ht="16" customHeight="1" s="120">
      <c r="A7" s="153" t="inlineStr">
        <is>
          <t>Agnes Bammannage</t>
        </is>
      </c>
      <c r="B7" s="154" t="inlineStr">
        <is>
          <t>12:15 PM</t>
        </is>
      </c>
      <c r="C7" s="155" t="inlineStr">
        <is>
          <t>Front Entrance (#1)</t>
        </is>
      </c>
      <c r="D7" s="156" t="inlineStr">
        <is>
          <t>Agnes Bammannage</t>
        </is>
      </c>
      <c r="E7" s="154" t="inlineStr">
        <is>
          <t>12:15 PM</t>
        </is>
      </c>
      <c r="F7" s="157" t="inlineStr">
        <is>
          <t>Handoff from Mamadou Seck (5:45 AM)</t>
        </is>
      </c>
    </row>
    <row r="8" ht="16" customHeight="1" s="120">
      <c r="A8" s="153" t="n"/>
      <c r="B8" s="154" t="n"/>
      <c r="C8" s="158" t="inlineStr">
        <is>
          <t>Front Entrance (#2)</t>
        </is>
      </c>
      <c r="D8" s="159" t="inlineStr">
        <is>
          <t>Aaliyah Snider</t>
        </is>
      </c>
      <c r="E8" s="160" t="inlineStr">
        <is>
          <t>2:00 PM</t>
        </is>
      </c>
      <c r="F8" s="157" t="inlineStr">
        <is>
          <t>Handoff from Ahamed John (3:45 AM)</t>
        </is>
      </c>
    </row>
    <row r="9" ht="16" customHeight="1" s="120">
      <c r="A9" s="153" t="inlineStr">
        <is>
          <t>Alyssa Prince</t>
        </is>
      </c>
      <c r="B9" s="154" t="inlineStr">
        <is>
          <t>12:15 PM</t>
        </is>
      </c>
      <c r="C9" s="155" t="inlineStr">
        <is>
          <t>ADA Entrance (1)</t>
        </is>
      </c>
      <c r="D9" s="156" t="inlineStr">
        <is>
          <t>Alyssa Prince</t>
        </is>
      </c>
      <c r="E9" s="154" t="inlineStr">
        <is>
          <t>12:15 PM</t>
        </is>
      </c>
      <c r="F9" s="157" t="inlineStr">
        <is>
          <t>Handoff from Allen Suggs (3:45 AM)</t>
        </is>
      </c>
    </row>
    <row r="10" ht="16" customHeight="1" s="120">
      <c r="A10" s="153" t="inlineStr">
        <is>
          <t>Amadou Diallo</t>
        </is>
      </c>
      <c r="B10" s="154" t="inlineStr">
        <is>
          <t>12:15 PM</t>
        </is>
      </c>
      <c r="C10" s="158" t="inlineStr">
        <is>
          <t>Lanes 17-18 (1)</t>
        </is>
      </c>
      <c r="D10" s="156" t="inlineStr">
        <is>
          <t>Amadou Diallo</t>
        </is>
      </c>
      <c r="E10" s="154" t="inlineStr">
        <is>
          <t>12:15 PM</t>
        </is>
      </c>
      <c r="F10" s="157" t="inlineStr">
        <is>
          <t>Handoff from Benjamin Crosby (3:45 AM)</t>
        </is>
      </c>
    </row>
    <row r="11" ht="16" customHeight="1" s="120">
      <c r="A11" s="153" t="inlineStr">
        <is>
          <t>Darrius Dunlap</t>
        </is>
      </c>
      <c r="B11" s="154" t="inlineStr">
        <is>
          <t>12:15 PM</t>
        </is>
      </c>
      <c r="C11" s="155" t="inlineStr">
        <is>
          <t>Inside Center (1)</t>
        </is>
      </c>
      <c r="D11" s="156" t="inlineStr">
        <is>
          <t>Darrius Dunlap</t>
        </is>
      </c>
      <c r="E11" s="154" t="inlineStr">
        <is>
          <t>12:15 PM</t>
        </is>
      </c>
      <c r="F11" s="157" t="inlineStr">
        <is>
          <t>Handoff from Demetrius Thomas (3:45 AM)</t>
        </is>
      </c>
    </row>
    <row r="12" ht="16" customHeight="1" s="120">
      <c r="A12" s="153" t="n"/>
      <c r="B12" s="154" t="n"/>
      <c r="C12" s="158" t="inlineStr">
        <is>
          <t>Lanes 1-3/Pre-Check (1)</t>
        </is>
      </c>
      <c r="D12" s="159" t="inlineStr">
        <is>
          <t>Akuugo Nduaguba</t>
        </is>
      </c>
      <c r="E12" s="160" t="inlineStr">
        <is>
          <t>2:00 PM</t>
        </is>
      </c>
      <c r="F12" s="157" t="inlineStr">
        <is>
          <t>Handoff from Abdou Mballo (5:45 AM)</t>
        </is>
      </c>
    </row>
    <row r="13" ht="14" customHeight="1" s="120">
      <c r="A13" s="151" t="inlineStr">
        <is>
          <t>ATRIUM</t>
        </is>
      </c>
      <c r="B13" s="242" t="n"/>
      <c r="C13" s="242" t="n"/>
      <c r="D13" s="242" t="n"/>
      <c r="E13" s="242" t="n"/>
      <c r="F13" s="241" t="n"/>
    </row>
    <row r="14" ht="16" customHeight="1" s="120">
      <c r="A14" s="153" t="inlineStr">
        <is>
          <t>Betelhem Wubshet</t>
        </is>
      </c>
      <c r="B14" s="154" t="inlineStr">
        <is>
          <t>12:15 PM</t>
        </is>
      </c>
      <c r="C14" s="155" t="inlineStr">
        <is>
          <t>KIA (1)</t>
        </is>
      </c>
      <c r="D14" s="156" t="inlineStr">
        <is>
          <t>Betelhem Wubshet</t>
        </is>
      </c>
      <c r="E14" s="154" t="inlineStr">
        <is>
          <t>12:15 PM</t>
        </is>
      </c>
      <c r="F14" s="157" t="inlineStr">
        <is>
          <t>Handoff from Natasha Carbon (3:45 AM)</t>
        </is>
      </c>
    </row>
    <row r="15" ht="14" customHeight="1" s="120">
      <c r="A15" s="151" t="inlineStr">
        <is>
          <t>SOUTH SECURITY CHECKPOINT</t>
        </is>
      </c>
      <c r="B15" s="242" t="n"/>
      <c r="C15" s="242" t="n"/>
      <c r="D15" s="242" t="n"/>
      <c r="E15" s="242" t="n"/>
      <c r="F15" s="241" t="n"/>
    </row>
    <row r="16" ht="16" customHeight="1" s="120">
      <c r="A16" s="153" t="inlineStr">
        <is>
          <t>Brittney Quave</t>
        </is>
      </c>
      <c r="B16" s="154" t="inlineStr">
        <is>
          <t>12:15 PM</t>
        </is>
      </c>
      <c r="C16" s="155" t="inlineStr">
        <is>
          <t>Checkpoint – Front Entrance (#1)</t>
        </is>
      </c>
      <c r="D16" s="156" t="inlineStr">
        <is>
          <t>Brittney Quave</t>
        </is>
      </c>
      <c r="E16" s="154" t="inlineStr">
        <is>
          <t>12:15 PM</t>
        </is>
      </c>
      <c r="F16" s="157" t="inlineStr">
        <is>
          <t>Handoff from Brianna Bryant (3:45 AM)</t>
        </is>
      </c>
    </row>
    <row r="17" ht="16" customHeight="1" s="120">
      <c r="A17" s="153" t="inlineStr">
        <is>
          <t>Chiedu Memeh</t>
        </is>
      </c>
      <c r="B17" s="154" t="inlineStr">
        <is>
          <t>12:15 PM</t>
        </is>
      </c>
      <c r="C17" s="158" t="inlineStr">
        <is>
          <t>Checkpoint – Front Entrance (#2)</t>
        </is>
      </c>
      <c r="D17" s="156" t="inlineStr">
        <is>
          <t>Chiedu Memeh</t>
        </is>
      </c>
      <c r="E17" s="154" t="inlineStr">
        <is>
          <t>12:15 PM</t>
        </is>
      </c>
      <c r="F17" s="157" t="inlineStr">
        <is>
          <t>Handoff from Tanya Organ (3:45 AM)</t>
        </is>
      </c>
    </row>
    <row r="18" ht="16" customHeight="1" s="120">
      <c r="A18" s="153" t="inlineStr">
        <is>
          <t>David Holloman</t>
        </is>
      </c>
      <c r="B18" s="154" t="inlineStr">
        <is>
          <t>12:15 PM</t>
        </is>
      </c>
      <c r="C18" s="155" t="inlineStr">
        <is>
          <t>Checkpoint – Inside (#1)</t>
        </is>
      </c>
      <c r="D18" s="156" t="inlineStr">
        <is>
          <t>David Holloman</t>
        </is>
      </c>
      <c r="E18" s="154" t="inlineStr">
        <is>
          <t>12:15 PM</t>
        </is>
      </c>
      <c r="F18" s="157" t="inlineStr">
        <is>
          <t>Handoff from Ashia Norman (5:45 AM)</t>
        </is>
      </c>
    </row>
    <row r="19" ht="16" customHeight="1" s="120">
      <c r="A19" s="153" t="n"/>
      <c r="B19" s="154" t="n"/>
      <c r="C19" s="158" t="inlineStr">
        <is>
          <t>Checkpoint – Inside (#2)</t>
        </is>
      </c>
      <c r="D19" s="153" t="n"/>
      <c r="E19" s="154" t="n"/>
      <c r="F19" s="161" t="inlineStr">
        <is>
          <t>Not staffed (PM)</t>
        </is>
      </c>
    </row>
    <row r="20" ht="16" customHeight="1" s="120">
      <c r="A20" s="153" t="n"/>
      <c r="B20" s="154" t="n"/>
      <c r="C20" s="155" t="inlineStr">
        <is>
          <t>Hallway Pre-check Overflow (1)</t>
        </is>
      </c>
      <c r="D20" s="159" t="inlineStr">
        <is>
          <t>Amanda Scott</t>
        </is>
      </c>
      <c r="E20" s="160" t="inlineStr">
        <is>
          <t>2:00 PM</t>
        </is>
      </c>
      <c r="F20" s="157" t="inlineStr">
        <is>
          <t>Handoff from Anariah Daniel (5:45 AM)</t>
        </is>
      </c>
    </row>
    <row r="21" ht="16" customHeight="1" s="120">
      <c r="A21" s="153" t="n"/>
      <c r="B21" s="154" t="n"/>
      <c r="C21" s="158" t="inlineStr">
        <is>
          <t>South Restroom (1)</t>
        </is>
      </c>
      <c r="D21" s="159" t="inlineStr">
        <is>
          <t>Ashley Lazenby</t>
        </is>
      </c>
      <c r="E21" s="160" t="inlineStr">
        <is>
          <t>2:00 PM</t>
        </is>
      </c>
      <c r="F21" s="157" t="inlineStr">
        <is>
          <t>Handoff from Micheal Manning (5:45 AM)</t>
        </is>
      </c>
    </row>
    <row r="22" ht="16" customHeight="1" s="120">
      <c r="A22" s="153" t="n"/>
      <c r="B22" s="154" t="n"/>
      <c r="C22" s="155" t="inlineStr">
        <is>
          <t>IHOP (1)</t>
        </is>
      </c>
      <c r="D22" s="159" t="inlineStr">
        <is>
          <t>Braheem Wooden</t>
        </is>
      </c>
      <c r="E22" s="160" t="inlineStr">
        <is>
          <t>2:00 PM</t>
        </is>
      </c>
      <c r="F22" s="157" t="inlineStr">
        <is>
          <t>Handoff from Brittany Gaither (3:45 AM)</t>
        </is>
      </c>
    </row>
    <row r="23" ht="14" customHeight="1" s="120">
      <c r="A23" s="151" t="inlineStr">
        <is>
          <t>NORTH SECURITY CHECKPOINT</t>
        </is>
      </c>
      <c r="B23" s="242" t="n"/>
      <c r="C23" s="242" t="n"/>
      <c r="D23" s="242" t="n"/>
      <c r="E23" s="242" t="n"/>
      <c r="F23" s="241" t="n"/>
    </row>
    <row r="24" ht="16" customHeight="1" s="120">
      <c r="A24" s="153" t="inlineStr">
        <is>
          <t>De'Anna Reese</t>
        </is>
      </c>
      <c r="B24" s="154" t="inlineStr">
        <is>
          <t>12:15 PM</t>
        </is>
      </c>
      <c r="C24" s="155" t="inlineStr">
        <is>
          <t>Checkpoint – Inside (1)</t>
        </is>
      </c>
      <c r="D24" s="156" t="inlineStr">
        <is>
          <t>De'Anna Reese</t>
        </is>
      </c>
      <c r="E24" s="154" t="inlineStr">
        <is>
          <t>12:15 PM</t>
        </is>
      </c>
      <c r="F24" s="157" t="inlineStr">
        <is>
          <t>Handoff from Dequavius Parker (5:45 AM)</t>
        </is>
      </c>
    </row>
    <row r="25" ht="16" customHeight="1" s="120">
      <c r="A25" s="153" t="inlineStr">
        <is>
          <t>Eyerusalem Esubaluw</t>
        </is>
      </c>
      <c r="B25" s="154" t="inlineStr">
        <is>
          <t>12:15 PM</t>
        </is>
      </c>
      <c r="C25" s="158" t="inlineStr">
        <is>
          <t>North Corridor (1)</t>
        </is>
      </c>
      <c r="D25" s="156" t="inlineStr">
        <is>
          <t>Eyerusalem Esubaluw</t>
        </is>
      </c>
      <c r="E25" s="154" t="inlineStr">
        <is>
          <t>12:15 PM</t>
        </is>
      </c>
      <c r="F25" s="157" t="inlineStr">
        <is>
          <t>Handoff from Brian Lee (5:45 AM)</t>
        </is>
      </c>
    </row>
    <row r="26" ht="16" customHeight="1" s="120">
      <c r="A26" s="153" t="n"/>
      <c r="B26" s="154" t="n"/>
      <c r="C26" s="155" t="inlineStr">
        <is>
          <t>North Restroom Hallway (#1)</t>
        </is>
      </c>
      <c r="D26" s="159" t="inlineStr">
        <is>
          <t>Cheikh Sylla</t>
        </is>
      </c>
      <c r="E26" s="160" t="inlineStr">
        <is>
          <t>2:00 PM</t>
        </is>
      </c>
      <c r="F26" s="157" t="inlineStr">
        <is>
          <t>Handoff from Mildred Torres (5:45 AM)</t>
        </is>
      </c>
    </row>
    <row r="27" ht="16" customHeight="1" s="120">
      <c r="A27" s="153" t="n"/>
      <c r="B27" s="154" t="n"/>
      <c r="C27" s="158" t="inlineStr">
        <is>
          <t>North Restroom Hallway (#2)</t>
        </is>
      </c>
      <c r="D27" s="159" t="inlineStr">
        <is>
          <t>Chris Jungson</t>
        </is>
      </c>
      <c r="E27" s="160" t="inlineStr">
        <is>
          <t>2:00 PM</t>
        </is>
      </c>
      <c r="F27" s="157" t="inlineStr">
        <is>
          <t>Handoff from Bintou Gueye (5:45 AM)</t>
        </is>
      </c>
    </row>
    <row r="28" ht="16" customHeight="1" s="120">
      <c r="A28" s="153" t="n"/>
      <c r="B28" s="154" t="n"/>
      <c r="C28" s="155" t="inlineStr">
        <is>
          <t>We Juice It (1)</t>
        </is>
      </c>
      <c r="D28" s="159" t="inlineStr">
        <is>
          <t>Dezeraye Fedrick</t>
        </is>
      </c>
      <c r="E28" s="160" t="inlineStr">
        <is>
          <t>2:00 PM</t>
        </is>
      </c>
      <c r="F28" s="157" t="inlineStr">
        <is>
          <t>Handoff from Khadijah Van Holten (3:45 AM)</t>
        </is>
      </c>
    </row>
    <row r="29" ht="14" customHeight="1" s="120">
      <c r="A29" s="151" t="inlineStr">
        <is>
          <t>LOWER NORTH SECURITY CHECKPOINT</t>
        </is>
      </c>
      <c r="B29" s="242" t="n"/>
      <c r="C29" s="242" t="n"/>
      <c r="D29" s="242" t="n"/>
      <c r="E29" s="242" t="n"/>
      <c r="F29" s="241" t="n"/>
    </row>
    <row r="30" ht="16" customHeight="1" s="120">
      <c r="A30" s="153" t="inlineStr">
        <is>
          <t>Falana Broughton</t>
        </is>
      </c>
      <c r="B30" s="154" t="inlineStr">
        <is>
          <t>12:15 PM</t>
        </is>
      </c>
      <c r="C30" s="155" t="inlineStr">
        <is>
          <t>Checkpoint – Inside (1)</t>
        </is>
      </c>
      <c r="D30" s="156" t="inlineStr">
        <is>
          <t>Falana Broughton</t>
        </is>
      </c>
      <c r="E30" s="154" t="inlineStr">
        <is>
          <t>12:15 PM</t>
        </is>
      </c>
      <c r="F30" s="157" t="inlineStr">
        <is>
          <t>Handoff from Dequavius Parker (5:45 AM)</t>
        </is>
      </c>
    </row>
    <row r="31" ht="16" customHeight="1" s="120">
      <c r="A31" s="153" t="n"/>
      <c r="B31" s="154" t="n"/>
      <c r="C31" s="158" t="inlineStr">
        <is>
          <t>N5 Door (1)</t>
        </is>
      </c>
      <c r="D31" s="159" t="inlineStr">
        <is>
          <t>Elizabeth Harlee</t>
        </is>
      </c>
      <c r="E31" s="160" t="inlineStr">
        <is>
          <t>2:00 PM</t>
        </is>
      </c>
      <c r="F31" s="157" t="inlineStr">
        <is>
          <t>Handoff from David Scoggin (5:45 AM)</t>
        </is>
      </c>
    </row>
    <row r="32" ht="16" customHeight="1" s="120">
      <c r="A32" s="153" t="n"/>
      <c r="B32" s="154" t="n"/>
      <c r="C32" s="155" t="inlineStr">
        <is>
          <t>LN2 Elevator (1)</t>
        </is>
      </c>
      <c r="D32" s="159" t="inlineStr">
        <is>
          <t>Kaci Cosper</t>
        </is>
      </c>
      <c r="E32" s="160" t="inlineStr">
        <is>
          <t>2:00 PM</t>
        </is>
      </c>
      <c r="F32" s="157" t="inlineStr">
        <is>
          <t>Handoff from Kimberly Morrison (3:45 AM)</t>
        </is>
      </c>
    </row>
    <row r="33" ht="14" customHeight="1" s="120">
      <c r="A33" s="151" t="inlineStr">
        <is>
          <t>AGT LEVEL</t>
        </is>
      </c>
      <c r="B33" s="242" t="n"/>
      <c r="C33" s="242" t="n"/>
      <c r="D33" s="242" t="n"/>
      <c r="E33" s="242" t="n"/>
      <c r="F33" s="241" t="n"/>
    </row>
    <row r="34" ht="16" customHeight="1" s="120">
      <c r="A34" s="153" t="n"/>
      <c r="B34" s="154" t="n"/>
      <c r="C34" s="155" t="inlineStr">
        <is>
          <t>T Platform Train Doors (#1)</t>
        </is>
      </c>
      <c r="D34" s="159" t="inlineStr">
        <is>
          <t>Khursheeda Nasreen</t>
        </is>
      </c>
      <c r="E34" s="160" t="inlineStr">
        <is>
          <t>2:00 PM</t>
        </is>
      </c>
      <c r="F34" s="157" t="inlineStr">
        <is>
          <t>Handoff from Derika Phipps (5:45 AM)</t>
        </is>
      </c>
    </row>
    <row r="35" ht="16" customHeight="1" s="120">
      <c r="A35" s="153" t="n"/>
      <c r="B35" s="154" t="n"/>
      <c r="C35" s="158" t="inlineStr">
        <is>
          <t>T Platform Train Doors (#2)</t>
        </is>
      </c>
      <c r="D35" s="159" t="inlineStr">
        <is>
          <t>Kori Jenkins</t>
        </is>
      </c>
      <c r="E35" s="160" t="inlineStr">
        <is>
          <t>2:00 PM</t>
        </is>
      </c>
      <c r="F35" s="157" t="inlineStr">
        <is>
          <t>Handoff from Feleke Tekle (5:45 AM)</t>
        </is>
      </c>
    </row>
    <row r="36" ht="16" customHeight="1" s="120">
      <c r="A36" s="153" t="n"/>
      <c r="B36" s="154" t="n"/>
      <c r="C36" s="155" t="inlineStr">
        <is>
          <t>Domestic Baggage Claim (1)</t>
        </is>
      </c>
      <c r="D36" s="159" t="inlineStr">
        <is>
          <t>Oumou Sane</t>
        </is>
      </c>
      <c r="E36" s="160" t="inlineStr">
        <is>
          <t>2:00 PM</t>
        </is>
      </c>
      <c r="F36" s="157" t="inlineStr">
        <is>
          <t>Handoff from Monica Ortiz (5:45 AM)</t>
        </is>
      </c>
    </row>
    <row r="37" ht="16" customHeight="1" s="120">
      <c r="A37" s="153" t="n"/>
      <c r="B37" s="154" t="n"/>
      <c r="C37" s="158" t="inlineStr">
        <is>
          <t>T Bridge Landing (#1)</t>
        </is>
      </c>
      <c r="D37" s="159" t="inlineStr">
        <is>
          <t>Princess Vance</t>
        </is>
      </c>
      <c r="E37" s="160" t="inlineStr">
        <is>
          <t>2:00 PM</t>
        </is>
      </c>
      <c r="F37" s="157" t="inlineStr">
        <is>
          <t>Handoff from Fikre Hadera (5:45 AM)</t>
        </is>
      </c>
    </row>
    <row r="38" ht="16" customHeight="1" s="120">
      <c r="A38" s="153" t="n"/>
      <c r="B38" s="154" t="n"/>
      <c r="C38" s="155" t="inlineStr">
        <is>
          <t>T Bridge Landing (#2)</t>
        </is>
      </c>
      <c r="D38" s="159" t="inlineStr">
        <is>
          <t>Theresa Logan</t>
        </is>
      </c>
      <c r="E38" s="160" t="inlineStr">
        <is>
          <t>2:00 PM</t>
        </is>
      </c>
      <c r="F38" s="157" t="inlineStr">
        <is>
          <t>Handoff from Habtewold Daba (5:45 AM)</t>
        </is>
      </c>
    </row>
    <row r="39" ht="16" customHeight="1" s="120">
      <c r="A39" s="153" t="n"/>
      <c r="B39" s="154" t="n"/>
      <c r="C39" s="158" t="inlineStr">
        <is>
          <t>Alpha West (1)</t>
        </is>
      </c>
      <c r="D39" s="159" t="inlineStr">
        <is>
          <t>Timicha Marshall</t>
        </is>
      </c>
      <c r="E39" s="160" t="inlineStr">
        <is>
          <t>2:00 PM</t>
        </is>
      </c>
      <c r="F39" s="157" t="inlineStr">
        <is>
          <t>Handoff from Isaiah Williams (5:45 AM)</t>
        </is>
      </c>
    </row>
    <row r="40" ht="16" customHeight="1" s="120">
      <c r="A40" s="153" t="n"/>
      <c r="B40" s="154" t="n"/>
      <c r="C40" s="155" t="inlineStr">
        <is>
          <t>Bravo West (1)</t>
        </is>
      </c>
      <c r="D40" s="159" t="inlineStr">
        <is>
          <t>Yitshhaq Sagahon</t>
        </is>
      </c>
      <c r="E40" s="160" t="inlineStr">
        <is>
          <t>2:00 PM</t>
        </is>
      </c>
      <c r="F40" s="157" t="inlineStr">
        <is>
          <t>Handoff from Jada Batiste (5:45 AM)</t>
        </is>
      </c>
    </row>
    <row r="41" ht="16" customHeight="1" s="120">
      <c r="A41" s="153" t="n"/>
      <c r="B41" s="154" t="n"/>
      <c r="C41" s="158" t="inlineStr">
        <is>
          <t>Charlie West (1)</t>
        </is>
      </c>
      <c r="D41" s="159" t="inlineStr">
        <is>
          <t>Youba Coly</t>
        </is>
      </c>
      <c r="E41" s="160" t="inlineStr">
        <is>
          <t>2:00 PM</t>
        </is>
      </c>
      <c r="F41" s="157" t="inlineStr">
        <is>
          <t>Handoff from Jalea Keith (5:45 AM)</t>
        </is>
      </c>
    </row>
    <row r="42" ht="16" customHeight="1" s="120">
      <c r="A42" s="153" t="n"/>
      <c r="B42" s="154" t="n"/>
      <c r="C42" s="155" t="inlineStr">
        <is>
          <t>Delta West (1)</t>
        </is>
      </c>
      <c r="D42" s="159" t="inlineStr">
        <is>
          <t>Youssouf Traore</t>
        </is>
      </c>
      <c r="E42" s="160" t="inlineStr">
        <is>
          <t>2:00 PM</t>
        </is>
      </c>
      <c r="F42" s="157" t="inlineStr">
        <is>
          <t>Handoff from Jamal Reynolds (5:45 AM)</t>
        </is>
      </c>
    </row>
    <row r="43" ht="14" customHeight="1" s="120">
      <c r="A43" s="151" t="inlineStr">
        <is>
          <t>SURVEYS</t>
        </is>
      </c>
      <c r="B43" s="242" t="n"/>
      <c r="C43" s="242" t="n"/>
      <c r="D43" s="242" t="n"/>
      <c r="E43" s="242" t="n"/>
      <c r="F43" s="241" t="n"/>
    </row>
    <row r="44" ht="16" customHeight="1" s="120">
      <c r="A44" s="162" t="inlineStr">
        <is>
          <t>UNFILLED</t>
        </is>
      </c>
      <c r="B44" s="163" t="n"/>
      <c r="C44" s="155" t="inlineStr">
        <is>
          <t>Surveyor (#1)</t>
        </is>
      </c>
      <c r="D44" s="164" t="inlineStr">
        <is>
          <t>UNFILLED</t>
        </is>
      </c>
      <c r="E44" s="163" t="n"/>
      <c r="F44" s="161" t="inlineStr">
        <is>
          <t>Handoff from Chrystol Harvey (5:45 AM)</t>
        </is>
      </c>
    </row>
    <row r="45" ht="16" customHeight="1" s="120">
      <c r="A45" s="162" t="inlineStr">
        <is>
          <t>UNFILLED</t>
        </is>
      </c>
      <c r="B45" s="163" t="n"/>
      <c r="C45" s="158" t="inlineStr">
        <is>
          <t>Surveyor (#2)</t>
        </is>
      </c>
      <c r="D45" s="164" t="inlineStr">
        <is>
          <t>UNFILLED</t>
        </is>
      </c>
      <c r="E45" s="163" t="n"/>
      <c r="F45" s="161" t="inlineStr">
        <is>
          <t>UNFILLED survey</t>
        </is>
      </c>
    </row>
    <row r="46" ht="16" customHeight="1" s="120">
      <c r="A46" s="162" t="inlineStr">
        <is>
          <t>UNFILLED</t>
        </is>
      </c>
      <c r="B46" s="163" t="n"/>
      <c r="C46" s="155" t="inlineStr">
        <is>
          <t>Surveyor (#3)</t>
        </is>
      </c>
      <c r="D46" s="164" t="inlineStr">
        <is>
          <t>UNFILLED</t>
        </is>
      </c>
      <c r="E46" s="163" t="n"/>
      <c r="F46" s="161" t="inlineStr">
        <is>
          <t>UNFILLED survey</t>
        </is>
      </c>
    </row>
    <row r="47" ht="16" customHeight="1" s="120">
      <c r="A47" s="162" t="inlineStr">
        <is>
          <t>UNFILLED</t>
        </is>
      </c>
      <c r="B47" s="163" t="n"/>
      <c r="C47" s="158" t="inlineStr">
        <is>
          <t>Surveyor (#4)</t>
        </is>
      </c>
      <c r="D47" s="164" t="inlineStr">
        <is>
          <t>UNFILLED</t>
        </is>
      </c>
      <c r="E47" s="163" t="n"/>
      <c r="F47" s="161" t="inlineStr">
        <is>
          <t>UNFILLED survey</t>
        </is>
      </c>
    </row>
    <row r="48" ht="14" customHeight="1" s="120">
      <c r="A48" s="151" t="inlineStr">
        <is>
          <t>INFORMATION DESK</t>
        </is>
      </c>
      <c r="B48" s="242" t="n"/>
      <c r="C48" s="242" t="n"/>
      <c r="D48" s="242" t="n"/>
      <c r="E48" s="242" t="n"/>
      <c r="F48" s="241" t="n"/>
    </row>
    <row r="49" ht="16" customHeight="1" s="120">
      <c r="A49" s="153" t="inlineStr">
        <is>
          <t>Heavyn Moore</t>
        </is>
      </c>
      <c r="B49" s="154" t="inlineStr">
        <is>
          <t>12:15 PM</t>
        </is>
      </c>
      <c r="C49" s="155" t="inlineStr">
        <is>
          <t>Information Desk Personnel</t>
        </is>
      </c>
      <c r="D49" s="156" t="inlineStr">
        <is>
          <t>Heavyn Moore</t>
        </is>
      </c>
      <c r="E49" s="154" t="inlineStr">
        <is>
          <t>12:15 PM</t>
        </is>
      </c>
      <c r="F49" s="157" t="inlineStr">
        <is>
          <t>Handoff from Sarita Jewell (5:45 AM)</t>
        </is>
      </c>
    </row>
    <row r="50" ht="14" customHeight="1" s="120">
      <c r="A50" s="151" t="inlineStr">
        <is>
          <t>DIVESTING</t>
        </is>
      </c>
      <c r="B50" s="242" t="n"/>
      <c r="C50" s="242" t="n"/>
      <c r="D50" s="242" t="n"/>
      <c r="E50" s="242" t="n"/>
      <c r="F50" s="241" t="n"/>
    </row>
    <row r="51" ht="16" customHeight="1" s="120">
      <c r="A51" s="153" t="inlineStr">
        <is>
          <t>John Davis</t>
        </is>
      </c>
      <c r="B51" s="154" t="inlineStr">
        <is>
          <t>12:15 PM</t>
        </is>
      </c>
      <c r="C51" s="155" t="inlineStr">
        <is>
          <t>North Divesting (#1)</t>
        </is>
      </c>
      <c r="D51" s="156" t="inlineStr">
        <is>
          <t>John Davis</t>
        </is>
      </c>
      <c r="E51" s="154" t="inlineStr">
        <is>
          <t>12:15 PM</t>
        </is>
      </c>
      <c r="F51" s="157" t="inlineStr">
        <is>
          <t>Handoff from Lazaro Lopez (3:45 AM)</t>
        </is>
      </c>
    </row>
    <row r="52" ht="16" customHeight="1" s="120">
      <c r="A52" s="153" t="inlineStr">
        <is>
          <t>Kaba Diop</t>
        </is>
      </c>
      <c r="B52" s="154" t="inlineStr">
        <is>
          <t>12:15 PM</t>
        </is>
      </c>
      <c r="C52" s="158" t="inlineStr">
        <is>
          <t>North Divesting (#2)</t>
        </is>
      </c>
      <c r="D52" s="156" t="inlineStr">
        <is>
          <t>Kaba Diop</t>
        </is>
      </c>
      <c r="E52" s="154" t="inlineStr">
        <is>
          <t>12:15 PM</t>
        </is>
      </c>
      <c r="F52" s="157" t="inlineStr">
        <is>
          <t>Handoff from Kidest Solomon (5:45 AM)</t>
        </is>
      </c>
    </row>
    <row r="53" ht="16" customHeight="1" s="120">
      <c r="A53" s="153" t="n"/>
      <c r="B53" s="154" t="n"/>
      <c r="C53" s="155" t="inlineStr">
        <is>
          <t>North Divesting (#3)</t>
        </is>
      </c>
      <c r="D53" s="159" t="inlineStr">
        <is>
          <t>Phyllis Finklea</t>
        </is>
      </c>
      <c r="E53" s="160" t="inlineStr">
        <is>
          <t>2:00 PM</t>
        </is>
      </c>
      <c r="F53" s="157" t="inlineStr">
        <is>
          <t>Handoff from Monique Hicks (5:45 AM)</t>
        </is>
      </c>
    </row>
    <row r="54" ht="16" customHeight="1" s="120">
      <c r="A54" s="153" t="n"/>
      <c r="B54" s="154" t="n"/>
      <c r="C54" s="158" t="inlineStr">
        <is>
          <t>North Divesting (#4)</t>
        </is>
      </c>
      <c r="D54" s="159" t="inlineStr">
        <is>
          <t>Tangy Winfrey</t>
        </is>
      </c>
      <c r="E54" s="160" t="inlineStr">
        <is>
          <t>2:00 PM</t>
        </is>
      </c>
      <c r="F54" s="157" t="inlineStr">
        <is>
          <t>Handoff from Maryse Camille (3:45 AM)</t>
        </is>
      </c>
    </row>
    <row r="55" ht="16" customHeight="1" s="120">
      <c r="A55" s="153" t="inlineStr">
        <is>
          <t>Tomekia Bryant</t>
        </is>
      </c>
      <c r="B55" s="154" t="inlineStr">
        <is>
          <t>12:15 PM</t>
        </is>
      </c>
      <c r="C55" s="155" t="inlineStr">
        <is>
          <t>Lower North Divesting (#1)</t>
        </is>
      </c>
      <c r="D55" s="156" t="inlineStr">
        <is>
          <t>Tomekia Bryant</t>
        </is>
      </c>
      <c r="E55" s="154" t="inlineStr">
        <is>
          <t>12:15 PM</t>
        </is>
      </c>
      <c r="F55" s="157" t="inlineStr">
        <is>
          <t>Handoff from Moneshia Echols (3:45 AM)</t>
        </is>
      </c>
    </row>
    <row r="56" ht="16" customHeight="1" s="120">
      <c r="A56" s="153" t="n"/>
      <c r="B56" s="154" t="n"/>
      <c r="C56" s="158" t="inlineStr">
        <is>
          <t>Lower North Divesting (#2)</t>
        </is>
      </c>
      <c r="D56" s="159" t="inlineStr">
        <is>
          <t>Illiasu Bsahmitu</t>
        </is>
      </c>
      <c r="E56" s="160" t="inlineStr">
        <is>
          <t>2:00 PM</t>
        </is>
      </c>
      <c r="F56" s="157" t="inlineStr">
        <is>
          <t>Handoff from Kimora Mcnair (5:45 AM)</t>
        </is>
      </c>
    </row>
    <row r="57" ht="16" customHeight="1" s="120">
      <c r="A57" s="153" t="n"/>
      <c r="B57" s="154" t="n"/>
      <c r="C57" s="155" t="inlineStr">
        <is>
          <t>Lower North Divesting (#3)</t>
        </is>
      </c>
      <c r="D57" s="159" t="inlineStr">
        <is>
          <t>Zekiah Robinson</t>
        </is>
      </c>
      <c r="E57" s="160" t="inlineStr">
        <is>
          <t>2:00 PM</t>
        </is>
      </c>
      <c r="F57" s="157" t="inlineStr">
        <is>
          <t>Handoff from Lynn Yi-Smith (5:45 AM)</t>
        </is>
      </c>
    </row>
    <row r="58" ht="14" customHeight="1" s="120">
      <c r="A58" s="151" t="inlineStr">
        <is>
          <t>ROVER / RELIEF POOL</t>
        </is>
      </c>
      <c r="B58" s="242" t="n"/>
      <c r="C58" s="242" t="n"/>
      <c r="D58" s="242" t="n"/>
      <c r="E58" s="242" t="n"/>
      <c r="F58" s="241" t="n"/>
    </row>
    <row r="59" ht="16" customHeight="1" s="120">
      <c r="A59" s="153" t="inlineStr">
        <is>
          <t>Ivory Johnson</t>
        </is>
      </c>
      <c r="B59" s="154" t="inlineStr">
        <is>
          <t>12:15 PM</t>
        </is>
      </c>
      <c r="C59" s="155" t="inlineStr">
        <is>
          <t>Rover (#1)</t>
        </is>
      </c>
      <c r="D59" s="156" t="inlineStr">
        <is>
          <t>Ivory Johnson</t>
        </is>
      </c>
      <c r="E59" s="154" t="inlineStr">
        <is>
          <t>12:15 PM</t>
        </is>
      </c>
      <c r="F59" s="161" t="inlineStr">
        <is>
          <t>Rover</t>
        </is>
      </c>
    </row>
    <row r="60" ht="16" customHeight="1" s="120">
      <c r="A60" s="153" t="inlineStr">
        <is>
          <t>Rihana Ababulla</t>
        </is>
      </c>
      <c r="B60" s="154" t="inlineStr">
        <is>
          <t>12:15 PM</t>
        </is>
      </c>
      <c r="C60" s="158" t="inlineStr">
        <is>
          <t>Rover (#2)</t>
        </is>
      </c>
      <c r="D60" s="156" t="inlineStr">
        <is>
          <t>Rihana Ababulla</t>
        </is>
      </c>
      <c r="E60" s="154" t="inlineStr">
        <is>
          <t>12:15 PM</t>
        </is>
      </c>
      <c r="F60" s="161" t="inlineStr">
        <is>
          <t>Rover</t>
        </is>
      </c>
    </row>
    <row r="61" ht="16" customHeight="1" s="120">
      <c r="A61" s="153" t="n"/>
      <c r="B61" s="154" t="n"/>
      <c r="C61" s="155" t="inlineStr">
        <is>
          <t>Rover (#3)</t>
        </is>
      </c>
      <c r="D61" s="159" t="inlineStr">
        <is>
          <t>Bousso Dioum</t>
        </is>
      </c>
      <c r="E61" s="160" t="inlineStr">
        <is>
          <t>2:00 PM</t>
        </is>
      </c>
      <c r="F61" s="161" t="inlineStr">
        <is>
          <t>Rover</t>
        </is>
      </c>
    </row>
    <row r="62" ht="16" customHeight="1" s="120">
      <c r="A62" s="153" t="inlineStr">
        <is>
          <t>Zinash Shiferaw</t>
        </is>
      </c>
      <c r="B62" s="154" t="inlineStr">
        <is>
          <t>12:15 PM</t>
        </is>
      </c>
      <c r="C62" s="158" t="inlineStr">
        <is>
          <t>Rover (#4)</t>
        </is>
      </c>
      <c r="D62" s="156" t="inlineStr">
        <is>
          <t>Zinash Shiferaw</t>
        </is>
      </c>
      <c r="E62" s="154" t="inlineStr">
        <is>
          <t>12:15 PM</t>
        </is>
      </c>
      <c r="F62" s="161" t="inlineStr">
        <is>
          <t>Rover</t>
        </is>
      </c>
    </row>
    <row r="63" ht="16" customHeight="1" s="120">
      <c r="A63" s="153" t="n"/>
      <c r="B63" s="154" t="n"/>
      <c r="C63" s="155" t="inlineStr">
        <is>
          <t>Rover (#5)</t>
        </is>
      </c>
      <c r="D63" s="159" t="inlineStr">
        <is>
          <t>Jordan Gilley</t>
        </is>
      </c>
      <c r="E63" s="160" t="inlineStr">
        <is>
          <t>2:00 PM</t>
        </is>
      </c>
      <c r="F63" s="161" t="inlineStr">
        <is>
          <t>Rover</t>
        </is>
      </c>
    </row>
    <row r="64" ht="16" customHeight="1" s="120">
      <c r="A64" s="153" t="n"/>
      <c r="B64" s="154" t="n"/>
      <c r="C64" s="158" t="inlineStr">
        <is>
          <t>Rover (#6)</t>
        </is>
      </c>
      <c r="D64" s="153" t="n"/>
      <c r="E64" s="154" t="n"/>
      <c r="F64" s="161" t="inlineStr">
        <is>
          <t>Handoff from Shanta Islam (5:45 AM)</t>
        </is>
      </c>
    </row>
    <row r="65" ht="16" customHeight="1" s="120">
      <c r="A65" s="153" t="n"/>
      <c r="B65" s="154" t="n"/>
      <c r="C65" s="155" t="inlineStr">
        <is>
          <t>Rover (#7)</t>
        </is>
      </c>
      <c r="D65" s="153" t="n"/>
      <c r="E65" s="154" t="n"/>
      <c r="F65" s="161" t="inlineStr">
        <is>
          <t>Handoff from Teasia Arnold (5:45 AM)</t>
        </is>
      </c>
    </row>
    <row r="66" ht="16" customHeight="1" s="120">
      <c r="A66" s="153" t="n"/>
      <c r="B66" s="154" t="n"/>
      <c r="C66" s="158" t="inlineStr">
        <is>
          <t>Rover (#8)</t>
        </is>
      </c>
      <c r="D66" s="153" t="n"/>
      <c r="E66" s="154" t="n"/>
      <c r="F66" s="161" t="inlineStr">
        <is>
          <t>Handoff from Terrell Leath (5:45 AM)</t>
        </is>
      </c>
    </row>
    <row r="67">
      <c r="A67" s="165" t="inlineStr">
        <is>
          <t>Leads manage breaks in-zone. White=early stay · Green=late arrival · Orange=UNFILLED</t>
        </is>
      </c>
    </row>
  </sheetData>
  <mergeCells count="15">
    <mergeCell ref="A33:F33"/>
    <mergeCell ref="B2:C2"/>
    <mergeCell ref="A13:F13"/>
    <mergeCell ref="A1:F1"/>
    <mergeCell ref="A23:F23"/>
    <mergeCell ref="B3:F3"/>
    <mergeCell ref="A67:F67"/>
    <mergeCell ref="A29:F29"/>
    <mergeCell ref="A6:F6"/>
    <mergeCell ref="A58:F58"/>
    <mergeCell ref="A50:F50"/>
    <mergeCell ref="A4:F4"/>
    <mergeCell ref="A48:F48"/>
    <mergeCell ref="A15:F15"/>
    <mergeCell ref="A43:F43"/>
  </mergeCells>
  <pageMargins left="0.4" right="0.4" top="0.4" bottom="0.4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style="120" min="1" max="1"/>
    <col width="10" customWidth="1" style="120" min="2" max="2"/>
    <col width="26" customWidth="1" style="120" min="3" max="3"/>
    <col width="18" customWidth="1" style="120" min="4" max="4"/>
    <col width="10" customWidth="1" style="120" min="5" max="5"/>
    <col width="36" customWidth="1" style="120" min="6" max="6"/>
  </cols>
  <sheetData>
    <row r="1" ht="20" customHeight="1" s="120">
      <c r="A1" s="144" t="inlineStr">
        <is>
          <t>AM OPERATIONS PLAYBOOK — POSITION FLOW</t>
        </is>
      </c>
    </row>
    <row r="2" ht="16" customHeight="1" s="120">
      <c r="A2" s="145" t="inlineStr">
        <is>
          <t>Date:</t>
        </is>
      </c>
      <c r="B2" s="146">
        <f>'Control Center'!B3</f>
        <v/>
      </c>
      <c r="C2" s="241" t="n"/>
      <c r="D2" s="145" t="inlineStr">
        <is>
          <t>Pax:</t>
        </is>
      </c>
      <c r="E2" s="148" t="n"/>
    </row>
    <row r="3" ht="28" customHeight="1" s="120">
      <c r="A3" s="145" t="inlineStr">
        <is>
          <t>Leads:</t>
        </is>
      </c>
      <c r="B3" s="148" t="n"/>
      <c r="C3" s="242" t="n"/>
      <c r="D3" s="242" t="n"/>
      <c r="E3" s="242" t="n"/>
      <c r="F3" s="241" t="n"/>
    </row>
    <row r="4" ht="28" customHeight="1" s="120">
      <c r="A4" s="149" t="inlineStr">
        <is>
          <t>Leads manage breaks in-zone. Limited tap-outs (1 per zone) from demanding open to easier same-zone post. White=stays · Light blue=3:45 who moved · Green=5:45 covering the open · Orange=UNFILLED.</t>
        </is>
      </c>
    </row>
    <row r="5" ht="16" customHeight="1" s="120">
      <c r="A5" s="150" t="inlineStr">
        <is>
          <t>Name (3:45)</t>
        </is>
      </c>
      <c r="B5" s="150" t="inlineStr">
        <is>
          <t>Shift</t>
        </is>
      </c>
      <c r="C5" s="150" t="inlineStr">
        <is>
          <t>POSITION</t>
        </is>
      </c>
      <c r="D5" s="150" t="inlineStr">
        <is>
          <t>Full ops name</t>
        </is>
      </c>
      <c r="E5" s="150" t="inlineStr">
        <is>
          <t>Shift</t>
        </is>
      </c>
      <c r="F5" s="150" t="inlineStr">
        <is>
          <t>Notes</t>
        </is>
      </c>
    </row>
    <row r="6" ht="14" customHeight="1" s="120">
      <c r="A6" s="151" t="inlineStr">
        <is>
          <t>MAIN SECURITY CHECKPOINT</t>
        </is>
      </c>
      <c r="B6" s="242" t="n"/>
      <c r="C6" s="242" t="n"/>
      <c r="D6" s="242" t="n"/>
      <c r="E6" s="242" t="n"/>
      <c r="F6" s="241" t="n"/>
    </row>
    <row r="7" ht="16" customHeight="1" s="120">
      <c r="A7" s="153" t="inlineStr">
        <is>
          <t>Ahamed John</t>
        </is>
      </c>
      <c r="B7" s="243" t="inlineStr">
        <is>
          <t>3:45 AM</t>
        </is>
      </c>
      <c r="C7" s="155" t="inlineStr">
        <is>
          <t>Front Entrance (#1)</t>
        </is>
      </c>
      <c r="D7" s="159" t="inlineStr">
        <is>
          <t>Mamadou Seck</t>
        </is>
      </c>
      <c r="E7" s="244" t="inlineStr">
        <is>
          <t>5:45 AM</t>
        </is>
      </c>
      <c r="F7" s="245" t="inlineStr">
        <is>
          <t>Tap-out → Front Entrance (#2)</t>
        </is>
      </c>
    </row>
    <row r="8" ht="16" customHeight="1" s="120">
      <c r="A8" s="246" t="inlineStr">
        <is>
          <t>Ahamed John</t>
        </is>
      </c>
      <c r="B8" s="247" t="inlineStr">
        <is>
          <t>3:45 AM</t>
        </is>
      </c>
      <c r="C8" s="158" t="inlineStr">
        <is>
          <t>Front Entrance (#2)</t>
        </is>
      </c>
      <c r="D8" s="248" t="inlineStr">
        <is>
          <t>Ahamed John</t>
        </is>
      </c>
      <c r="E8" s="247" t="inlineStr">
        <is>
          <t>3:45 AM</t>
        </is>
      </c>
      <c r="F8" s="245" t="inlineStr">
        <is>
          <t>From Front Entrance (#1)</t>
        </is>
      </c>
    </row>
    <row r="9" ht="16" customHeight="1" s="120">
      <c r="A9" s="153" t="inlineStr">
        <is>
          <t>Allen Suggs</t>
        </is>
      </c>
      <c r="B9" s="154" t="inlineStr">
        <is>
          <t>3:45 AM</t>
        </is>
      </c>
      <c r="C9" s="155" t="inlineStr">
        <is>
          <t>ADA Entrance (1)</t>
        </is>
      </c>
      <c r="D9" s="156" t="inlineStr">
        <is>
          <t>Allen Suggs</t>
        </is>
      </c>
      <c r="E9" s="154" t="inlineStr">
        <is>
          <t>3:45 AM</t>
        </is>
      </c>
      <c r="F9" s="161" t="inlineStr">
        <is>
          <t>Open</t>
        </is>
      </c>
    </row>
    <row r="10" ht="16" customHeight="1" s="120">
      <c r="A10" s="153" t="inlineStr">
        <is>
          <t>Benjamin Crosby</t>
        </is>
      </c>
      <c r="B10" s="154" t="inlineStr">
        <is>
          <t>3:45 AM</t>
        </is>
      </c>
      <c r="C10" s="158" t="inlineStr">
        <is>
          <t>Lanes 17-18 (1)</t>
        </is>
      </c>
      <c r="D10" s="156" t="inlineStr">
        <is>
          <t>Benjamin Crosby</t>
        </is>
      </c>
      <c r="E10" s="154" t="inlineStr">
        <is>
          <t>3:45 AM</t>
        </is>
      </c>
      <c r="F10" s="161" t="inlineStr">
        <is>
          <t>Open</t>
        </is>
      </c>
    </row>
    <row r="11" ht="16" customHeight="1" s="120">
      <c r="A11" s="153" t="inlineStr">
        <is>
          <t>Demetrius Thomas</t>
        </is>
      </c>
      <c r="B11" s="154" t="inlineStr">
        <is>
          <t>3:45 AM</t>
        </is>
      </c>
      <c r="C11" s="155" t="inlineStr">
        <is>
          <t>Inside Center (1)</t>
        </is>
      </c>
      <c r="D11" s="156" t="inlineStr">
        <is>
          <t>Demetrius Thomas</t>
        </is>
      </c>
      <c r="E11" s="154" t="inlineStr">
        <is>
          <t>3:45 AM</t>
        </is>
      </c>
      <c r="F11" s="161" t="inlineStr">
        <is>
          <t>Open</t>
        </is>
      </c>
    </row>
    <row r="12" ht="16" customHeight="1" s="120">
      <c r="A12" s="153" t="n"/>
      <c r="B12" s="154" t="n"/>
      <c r="C12" s="158" t="inlineStr">
        <is>
          <t>Lanes 1-3/Pre-Check (1)</t>
        </is>
      </c>
      <c r="D12" s="159" t="inlineStr">
        <is>
          <t>Abdou Mballo</t>
        </is>
      </c>
      <c r="E12" s="160" t="inlineStr">
        <is>
          <t>5:45 AM</t>
        </is>
      </c>
      <c r="F12" s="161" t="inlineStr">
        <is>
          <t>Start 5:45</t>
        </is>
      </c>
    </row>
    <row r="13" ht="14" customHeight="1" s="120">
      <c r="A13" s="151" t="inlineStr">
        <is>
          <t>ATRIUM</t>
        </is>
      </c>
      <c r="B13" s="242" t="n"/>
      <c r="C13" s="242" t="n"/>
      <c r="D13" s="242" t="n"/>
      <c r="E13" s="242" t="n"/>
      <c r="F13" s="241" t="n"/>
    </row>
    <row r="14" ht="16" customHeight="1" s="120">
      <c r="A14" s="153" t="inlineStr">
        <is>
          <t>Natasha Carbon</t>
        </is>
      </c>
      <c r="B14" s="154" t="inlineStr">
        <is>
          <t>3:45 AM</t>
        </is>
      </c>
      <c r="C14" s="155" t="inlineStr">
        <is>
          <t>KIA (1)</t>
        </is>
      </c>
      <c r="D14" s="156" t="inlineStr">
        <is>
          <t>Natasha Carbon</t>
        </is>
      </c>
      <c r="E14" s="154" t="inlineStr">
        <is>
          <t>3:45 AM</t>
        </is>
      </c>
      <c r="F14" s="161" t="inlineStr">
        <is>
          <t>Zone mix</t>
        </is>
      </c>
    </row>
    <row r="15" ht="14" customHeight="1" s="120">
      <c r="A15" s="151" t="inlineStr">
        <is>
          <t>SOUTH SECURITY CHECKPOINT</t>
        </is>
      </c>
      <c r="B15" s="242" t="n"/>
      <c r="C15" s="242" t="n"/>
      <c r="D15" s="242" t="n"/>
      <c r="E15" s="242" t="n"/>
      <c r="F15" s="241" t="n"/>
    </row>
    <row r="16" ht="16" customHeight="1" s="120">
      <c r="A16" s="153" t="inlineStr">
        <is>
          <t>Brianna Bryant</t>
        </is>
      </c>
      <c r="B16" s="154" t="inlineStr">
        <is>
          <t>3:45 AM</t>
        </is>
      </c>
      <c r="C16" s="155" t="inlineStr">
        <is>
          <t>Checkpoint – Front Entrance (#1)</t>
        </is>
      </c>
      <c r="D16" s="156" t="inlineStr">
        <is>
          <t>Brianna Bryant</t>
        </is>
      </c>
      <c r="E16" s="154" t="inlineStr">
        <is>
          <t>3:45 AM</t>
        </is>
      </c>
      <c r="F16" s="161" t="inlineStr">
        <is>
          <t>Open</t>
        </is>
      </c>
    </row>
    <row r="17" ht="16" customHeight="1" s="120">
      <c r="A17" s="153" t="inlineStr">
        <is>
          <t>Tanya Organ</t>
        </is>
      </c>
      <c r="B17" s="154" t="inlineStr">
        <is>
          <t>3:45 AM</t>
        </is>
      </c>
      <c r="C17" s="158" t="inlineStr">
        <is>
          <t>Checkpoint – Front Entrance (#2)</t>
        </is>
      </c>
      <c r="D17" s="156" t="inlineStr">
        <is>
          <t>Tanya Organ</t>
        </is>
      </c>
      <c r="E17" s="154" t="inlineStr">
        <is>
          <t>3:45 AM</t>
        </is>
      </c>
      <c r="F17" s="161" t="inlineStr">
        <is>
          <t>Zone mix</t>
        </is>
      </c>
    </row>
    <row r="18" ht="16" customHeight="1" s="120">
      <c r="A18" s="153" t="inlineStr">
        <is>
          <t>Brittany Gaither</t>
        </is>
      </c>
      <c r="B18" s="243" t="inlineStr">
        <is>
          <t>3:45 AM</t>
        </is>
      </c>
      <c r="C18" s="155" t="inlineStr">
        <is>
          <t>Checkpoint – Inside (#1)</t>
        </is>
      </c>
      <c r="D18" s="159" t="inlineStr">
        <is>
          <t>Ashia Norman</t>
        </is>
      </c>
      <c r="E18" s="244" t="inlineStr">
        <is>
          <t>5:45 AM</t>
        </is>
      </c>
      <c r="F18" s="245" t="inlineStr">
        <is>
          <t>Tap-out → IHOP (1)</t>
        </is>
      </c>
    </row>
    <row r="19" ht="16" customHeight="1" s="120">
      <c r="A19" s="153" t="n"/>
      <c r="B19" s="154" t="n"/>
      <c r="C19" s="158" t="inlineStr">
        <is>
          <t>Checkpoint – Inside (#2)</t>
        </is>
      </c>
      <c r="D19" s="159" t="inlineStr">
        <is>
          <t>Aleah Mckinnon</t>
        </is>
      </c>
      <c r="E19" s="160" t="inlineStr">
        <is>
          <t>5:45 AM</t>
        </is>
      </c>
      <c r="F19" s="161" t="inlineStr">
        <is>
          <t>Start 5:45</t>
        </is>
      </c>
    </row>
    <row r="20" ht="16" customHeight="1" s="120">
      <c r="A20" s="153" t="n"/>
      <c r="B20" s="154" t="n"/>
      <c r="C20" s="155" t="inlineStr">
        <is>
          <t>Hallway Pre-check Overflow (1)</t>
        </is>
      </c>
      <c r="D20" s="159" t="inlineStr">
        <is>
          <t>Anariah Daniel</t>
        </is>
      </c>
      <c r="E20" s="160" t="inlineStr">
        <is>
          <t>5:45 AM</t>
        </is>
      </c>
      <c r="F20" s="161" t="inlineStr">
        <is>
          <t>Start 5:45</t>
        </is>
      </c>
    </row>
    <row r="21" ht="16" customHeight="1" s="120">
      <c r="A21" s="153" t="n"/>
      <c r="B21" s="154" t="n"/>
      <c r="C21" s="158" t="inlineStr">
        <is>
          <t>South Restroom (1)</t>
        </is>
      </c>
      <c r="D21" s="159" t="inlineStr">
        <is>
          <t>Micheal Manning</t>
        </is>
      </c>
      <c r="E21" s="160" t="inlineStr">
        <is>
          <t>5:45 AM</t>
        </is>
      </c>
      <c r="F21" s="161" t="inlineStr">
        <is>
          <t>Zone mix</t>
        </is>
      </c>
    </row>
    <row r="22" ht="16" customHeight="1" s="120">
      <c r="A22" s="246" t="inlineStr">
        <is>
          <t>Brittany Gaither</t>
        </is>
      </c>
      <c r="B22" s="247" t="inlineStr">
        <is>
          <t>3:45 AM</t>
        </is>
      </c>
      <c r="C22" s="155" t="inlineStr">
        <is>
          <t>IHOP (1)</t>
        </is>
      </c>
      <c r="D22" s="248" t="inlineStr">
        <is>
          <t>Brittany Gaither</t>
        </is>
      </c>
      <c r="E22" s="247" t="inlineStr">
        <is>
          <t>3:45 AM</t>
        </is>
      </c>
      <c r="F22" s="245" t="inlineStr">
        <is>
          <t>From Checkpoint – Inside (#1)</t>
        </is>
      </c>
    </row>
    <row r="23" ht="14" customHeight="1" s="120">
      <c r="A23" s="151" t="inlineStr">
        <is>
          <t>NORTH SECURITY CHECKPOINT</t>
        </is>
      </c>
      <c r="B23" s="242" t="n"/>
      <c r="C23" s="242" t="n"/>
      <c r="D23" s="242" t="n"/>
      <c r="E23" s="242" t="n"/>
      <c r="F23" s="241" t="n"/>
    </row>
    <row r="24" ht="16" customHeight="1" s="120">
      <c r="A24" s="153" t="inlineStr">
        <is>
          <t>Jessika Williams</t>
        </is>
      </c>
      <c r="B24" s="154" t="inlineStr">
        <is>
          <t>3:45 AM</t>
        </is>
      </c>
      <c r="C24" s="155" t="inlineStr">
        <is>
          <t>Checkpoint – Inside (1)</t>
        </is>
      </c>
      <c r="D24" s="156" t="inlineStr">
        <is>
          <t>Jessika Williams</t>
        </is>
      </c>
      <c r="E24" s="154" t="inlineStr">
        <is>
          <t>3:45 AM</t>
        </is>
      </c>
      <c r="F24" s="161" t="inlineStr">
        <is>
          <t>Open</t>
        </is>
      </c>
    </row>
    <row r="25" ht="16" customHeight="1" s="120">
      <c r="A25" s="153" t="inlineStr">
        <is>
          <t>Khadijah Van Holten</t>
        </is>
      </c>
      <c r="B25" s="243" t="inlineStr">
        <is>
          <t>3:45 AM</t>
        </is>
      </c>
      <c r="C25" s="158" t="inlineStr">
        <is>
          <t>North Corridor (1)</t>
        </is>
      </c>
      <c r="D25" s="159" t="inlineStr">
        <is>
          <t>Brian Lee</t>
        </is>
      </c>
      <c r="E25" s="244" t="inlineStr">
        <is>
          <t>5:45 AM</t>
        </is>
      </c>
      <c r="F25" s="245" t="inlineStr">
        <is>
          <t>Tap-out → We Juice It (1)</t>
        </is>
      </c>
    </row>
    <row r="26" ht="16" customHeight="1" s="120">
      <c r="A26" s="153" t="n"/>
      <c r="B26" s="154" t="n"/>
      <c r="C26" s="155" t="inlineStr">
        <is>
          <t>North Restroom Hallway (#1)</t>
        </is>
      </c>
      <c r="D26" s="159" t="inlineStr">
        <is>
          <t>Mildred Torres</t>
        </is>
      </c>
      <c r="E26" s="160" t="inlineStr">
        <is>
          <t>5:45 AM</t>
        </is>
      </c>
      <c r="F26" s="161" t="inlineStr">
        <is>
          <t>Zone mix</t>
        </is>
      </c>
    </row>
    <row r="27" ht="16" customHeight="1" s="120">
      <c r="A27" s="153" t="n"/>
      <c r="B27" s="154" t="n"/>
      <c r="C27" s="158" t="inlineStr">
        <is>
          <t>North Restroom Hallway (#2)</t>
        </is>
      </c>
      <c r="D27" s="159" t="inlineStr">
        <is>
          <t>Bintou Gueye</t>
        </is>
      </c>
      <c r="E27" s="160" t="inlineStr">
        <is>
          <t>5:45 AM</t>
        </is>
      </c>
      <c r="F27" s="161" t="inlineStr">
        <is>
          <t>Start 5:45</t>
        </is>
      </c>
    </row>
    <row r="28" ht="16" customHeight="1" s="120">
      <c r="A28" s="246" t="inlineStr">
        <is>
          <t>Khadijah Van Holten</t>
        </is>
      </c>
      <c r="B28" s="247" t="inlineStr">
        <is>
          <t>3:45 AM</t>
        </is>
      </c>
      <c r="C28" s="155" t="inlineStr">
        <is>
          <t>We Juice It (1)</t>
        </is>
      </c>
      <c r="D28" s="248" t="inlineStr">
        <is>
          <t>Khadijah Van Holten</t>
        </is>
      </c>
      <c r="E28" s="247" t="inlineStr">
        <is>
          <t>3:45 AM</t>
        </is>
      </c>
      <c r="F28" s="245" t="inlineStr">
        <is>
          <t>From North Corridor (1)</t>
        </is>
      </c>
    </row>
    <row r="29" ht="14" customHeight="1" s="120">
      <c r="A29" s="151" t="inlineStr">
        <is>
          <t>LOWER NORTH SECURITY CHECKPOINT</t>
        </is>
      </c>
      <c r="B29" s="242" t="n"/>
      <c r="C29" s="242" t="n"/>
      <c r="D29" s="242" t="n"/>
      <c r="E29" s="242" t="n"/>
      <c r="F29" s="241" t="n"/>
    </row>
    <row r="30" ht="16" customHeight="1" s="120">
      <c r="A30" s="153" t="inlineStr">
        <is>
          <t>Kimberly Morrison</t>
        </is>
      </c>
      <c r="B30" s="243" t="inlineStr">
        <is>
          <t>3:45 AM</t>
        </is>
      </c>
      <c r="C30" s="155" t="inlineStr">
        <is>
          <t>Checkpoint – Inside (1)</t>
        </is>
      </c>
      <c r="D30" s="159" t="inlineStr">
        <is>
          <t>Dequavius Parker</t>
        </is>
      </c>
      <c r="E30" s="244" t="inlineStr">
        <is>
          <t>5:45 AM</t>
        </is>
      </c>
      <c r="F30" s="245" t="inlineStr">
        <is>
          <t>Tap-out → LN2 Elevator (1)</t>
        </is>
      </c>
    </row>
    <row r="31" ht="16" customHeight="1" s="120">
      <c r="A31" s="153" t="n"/>
      <c r="B31" s="154" t="n"/>
      <c r="C31" s="158" t="inlineStr">
        <is>
          <t>N5 Door (1)</t>
        </is>
      </c>
      <c r="D31" s="159" t="inlineStr">
        <is>
          <t>David Scoggin</t>
        </is>
      </c>
      <c r="E31" s="160" t="inlineStr">
        <is>
          <t>5:45 AM</t>
        </is>
      </c>
      <c r="F31" s="161" t="inlineStr">
        <is>
          <t>Start 5:45</t>
        </is>
      </c>
    </row>
    <row r="32" ht="16" customHeight="1" s="120">
      <c r="A32" s="246" t="inlineStr">
        <is>
          <t>Kimberly Morrison</t>
        </is>
      </c>
      <c r="B32" s="247" t="inlineStr">
        <is>
          <t>3:45 AM</t>
        </is>
      </c>
      <c r="C32" s="155" t="inlineStr">
        <is>
          <t>LN2 Elevator (1)</t>
        </is>
      </c>
      <c r="D32" s="248" t="inlineStr">
        <is>
          <t>Kimberly Morrison</t>
        </is>
      </c>
      <c r="E32" s="247" t="inlineStr">
        <is>
          <t>3:45 AM</t>
        </is>
      </c>
      <c r="F32" s="245" t="inlineStr">
        <is>
          <t>From Checkpoint – Inside (1)</t>
        </is>
      </c>
    </row>
    <row r="33" ht="14" customHeight="1" s="120">
      <c r="A33" s="151" t="inlineStr">
        <is>
          <t>AGT LEVEL</t>
        </is>
      </c>
      <c r="B33" s="242" t="n"/>
      <c r="C33" s="242" t="n"/>
      <c r="D33" s="242" t="n"/>
      <c r="E33" s="242" t="n"/>
      <c r="F33" s="241" t="n"/>
    </row>
    <row r="34" ht="16" customHeight="1" s="120">
      <c r="A34" s="153" t="n"/>
      <c r="B34" s="154" t="n"/>
      <c r="C34" s="155" t="inlineStr">
        <is>
          <t>T Platform Train Doors (#1)</t>
        </is>
      </c>
      <c r="D34" s="159" t="inlineStr">
        <is>
          <t>Derika Phipps</t>
        </is>
      </c>
      <c r="E34" s="160" t="inlineStr">
        <is>
          <t>5:45 AM</t>
        </is>
      </c>
      <c r="F34" s="161" t="inlineStr">
        <is>
          <t>Start 5:45</t>
        </is>
      </c>
    </row>
    <row r="35" ht="16" customHeight="1" s="120">
      <c r="A35" s="153" t="n"/>
      <c r="B35" s="154" t="n"/>
      <c r="C35" s="158" t="inlineStr">
        <is>
          <t>T Platform Train Doors (#2)</t>
        </is>
      </c>
      <c r="D35" s="159" t="inlineStr">
        <is>
          <t>Feleke Tekle</t>
        </is>
      </c>
      <c r="E35" s="160" t="inlineStr">
        <is>
          <t>5:45 AM</t>
        </is>
      </c>
      <c r="F35" s="161" t="inlineStr">
        <is>
          <t>Start 5:45</t>
        </is>
      </c>
    </row>
    <row r="36" ht="16" customHeight="1" s="120">
      <c r="A36" s="153" t="n"/>
      <c r="B36" s="154" t="n"/>
      <c r="C36" s="155" t="inlineStr">
        <is>
          <t>Domestic Baggage Claim (1)</t>
        </is>
      </c>
      <c r="D36" s="159" t="inlineStr">
        <is>
          <t>Monica Ortiz</t>
        </is>
      </c>
      <c r="E36" s="160" t="inlineStr">
        <is>
          <t>5:45 AM</t>
        </is>
      </c>
      <c r="F36" s="161" t="inlineStr">
        <is>
          <t>Zone mix</t>
        </is>
      </c>
    </row>
    <row r="37" ht="16" customHeight="1" s="120">
      <c r="A37" s="153" t="n"/>
      <c r="B37" s="154" t="n"/>
      <c r="C37" s="158" t="inlineStr">
        <is>
          <t>T Bridge Landing (#1)</t>
        </is>
      </c>
      <c r="D37" s="159" t="inlineStr">
        <is>
          <t>Fikre Hadera</t>
        </is>
      </c>
      <c r="E37" s="160" t="inlineStr">
        <is>
          <t>5:45 AM</t>
        </is>
      </c>
      <c r="F37" s="161" t="inlineStr">
        <is>
          <t>Start 5:45</t>
        </is>
      </c>
    </row>
    <row r="38" ht="16" customHeight="1" s="120">
      <c r="A38" s="153" t="n"/>
      <c r="B38" s="154" t="n"/>
      <c r="C38" s="155" t="inlineStr">
        <is>
          <t>T Bridge Landing (#2)</t>
        </is>
      </c>
      <c r="D38" s="159" t="inlineStr">
        <is>
          <t>Habtewold Daba</t>
        </is>
      </c>
      <c r="E38" s="160" t="inlineStr">
        <is>
          <t>5:45 AM</t>
        </is>
      </c>
      <c r="F38" s="161" t="inlineStr">
        <is>
          <t>Start 5:45</t>
        </is>
      </c>
    </row>
    <row r="39" ht="16" customHeight="1" s="120">
      <c r="A39" s="153" t="n"/>
      <c r="B39" s="154" t="n"/>
      <c r="C39" s="158" t="inlineStr">
        <is>
          <t>Alpha West (1)</t>
        </is>
      </c>
      <c r="D39" s="159" t="inlineStr">
        <is>
          <t>Isaiah Williams</t>
        </is>
      </c>
      <c r="E39" s="160" t="inlineStr">
        <is>
          <t>5:45 AM</t>
        </is>
      </c>
      <c r="F39" s="161" t="inlineStr">
        <is>
          <t>Start 5:45</t>
        </is>
      </c>
    </row>
    <row r="40" ht="16" customHeight="1" s="120">
      <c r="A40" s="153" t="n"/>
      <c r="B40" s="154" t="n"/>
      <c r="C40" s="155" t="inlineStr">
        <is>
          <t>Bravo West (1)</t>
        </is>
      </c>
      <c r="D40" s="159" t="inlineStr">
        <is>
          <t>Jada Batiste</t>
        </is>
      </c>
      <c r="E40" s="160" t="inlineStr">
        <is>
          <t>5:45 AM</t>
        </is>
      </c>
      <c r="F40" s="161" t="inlineStr">
        <is>
          <t>Start 5:45</t>
        </is>
      </c>
    </row>
    <row r="41" ht="16" customHeight="1" s="120">
      <c r="A41" s="153" t="n"/>
      <c r="B41" s="154" t="n"/>
      <c r="C41" s="158" t="inlineStr">
        <is>
          <t>Charlie West (1)</t>
        </is>
      </c>
      <c r="D41" s="159" t="inlineStr">
        <is>
          <t>Jalea Keith</t>
        </is>
      </c>
      <c r="E41" s="160" t="inlineStr">
        <is>
          <t>5:45 AM</t>
        </is>
      </c>
      <c r="F41" s="161" t="inlineStr">
        <is>
          <t>Start 5:45</t>
        </is>
      </c>
    </row>
    <row r="42" ht="16" customHeight="1" s="120">
      <c r="A42" s="153" t="n"/>
      <c r="B42" s="154" t="n"/>
      <c r="C42" s="155" t="inlineStr">
        <is>
          <t>Delta West (1)</t>
        </is>
      </c>
      <c r="D42" s="159" t="inlineStr">
        <is>
          <t>Jamal Reynolds</t>
        </is>
      </c>
      <c r="E42" s="160" t="inlineStr">
        <is>
          <t>5:45 AM</t>
        </is>
      </c>
      <c r="F42" s="161" t="inlineStr">
        <is>
          <t>Start 5:45</t>
        </is>
      </c>
    </row>
    <row r="43" ht="14" customHeight="1" s="120">
      <c r="A43" s="151" t="inlineStr">
        <is>
          <t>SURVEYS</t>
        </is>
      </c>
      <c r="B43" s="242" t="n"/>
      <c r="C43" s="242" t="n"/>
      <c r="D43" s="242" t="n"/>
      <c r="E43" s="242" t="n"/>
      <c r="F43" s="241" t="n"/>
    </row>
    <row r="44" ht="16" customHeight="1" s="120">
      <c r="A44" s="153" t="n"/>
      <c r="B44" s="154" t="n"/>
      <c r="C44" s="155" t="inlineStr">
        <is>
          <t>Surveyor (#1)</t>
        </is>
      </c>
      <c r="D44" s="159" t="inlineStr">
        <is>
          <t>Chrystol Harvey</t>
        </is>
      </c>
      <c r="E44" s="160" t="inlineStr">
        <is>
          <t>5:45 AM</t>
        </is>
      </c>
      <c r="F44" s="161" t="inlineStr">
        <is>
          <t>Survey</t>
        </is>
      </c>
    </row>
    <row r="45" ht="16" customHeight="1" s="120">
      <c r="A45" s="162" t="inlineStr">
        <is>
          <t>UNFILLED</t>
        </is>
      </c>
      <c r="B45" s="163" t="n"/>
      <c r="C45" s="158" t="inlineStr">
        <is>
          <t>Surveyor (#2)</t>
        </is>
      </c>
      <c r="D45" s="164" t="inlineStr">
        <is>
          <t>UNFILLED</t>
        </is>
      </c>
      <c r="E45" s="163" t="n"/>
      <c r="F45" s="161" t="inlineStr">
        <is>
          <t>UNFILLED survey</t>
        </is>
      </c>
    </row>
    <row r="46" ht="16" customHeight="1" s="120">
      <c r="A46" s="162" t="inlineStr">
        <is>
          <t>UNFILLED</t>
        </is>
      </c>
      <c r="B46" s="163" t="n"/>
      <c r="C46" s="155" t="inlineStr">
        <is>
          <t>Surveyor (#3)</t>
        </is>
      </c>
      <c r="D46" s="164" t="inlineStr">
        <is>
          <t>UNFILLED</t>
        </is>
      </c>
      <c r="E46" s="163" t="n"/>
      <c r="F46" s="161" t="inlineStr">
        <is>
          <t>UNFILLED survey</t>
        </is>
      </c>
    </row>
    <row r="47" ht="16" customHeight="1" s="120">
      <c r="A47" s="162" t="inlineStr">
        <is>
          <t>UNFILLED</t>
        </is>
      </c>
      <c r="B47" s="163" t="n"/>
      <c r="C47" s="158" t="inlineStr">
        <is>
          <t>Surveyor (#4)</t>
        </is>
      </c>
      <c r="D47" s="164" t="inlineStr">
        <is>
          <t>UNFILLED</t>
        </is>
      </c>
      <c r="E47" s="163" t="n"/>
      <c r="F47" s="161" t="inlineStr">
        <is>
          <t>UNFILLED survey</t>
        </is>
      </c>
    </row>
    <row r="48" ht="14" customHeight="1" s="120">
      <c r="A48" s="151" t="inlineStr">
        <is>
          <t>INFORMATION DESK</t>
        </is>
      </c>
      <c r="B48" s="242" t="n"/>
      <c r="C48" s="242" t="n"/>
      <c r="D48" s="242" t="n"/>
      <c r="E48" s="242" t="n"/>
      <c r="F48" s="241" t="n"/>
    </row>
    <row r="49" ht="16" customHeight="1" s="120">
      <c r="A49" s="153" t="n"/>
      <c r="B49" s="154" t="n"/>
      <c r="C49" s="155" t="inlineStr">
        <is>
          <t>Information Desk Personnel</t>
        </is>
      </c>
      <c r="D49" s="159" t="inlineStr">
        <is>
          <t>Sarita Jewell</t>
        </is>
      </c>
      <c r="E49" s="160" t="inlineStr">
        <is>
          <t>5:45 AM</t>
        </is>
      </c>
      <c r="F49" s="161" t="inlineStr">
        <is>
          <t>Zone mix</t>
        </is>
      </c>
    </row>
    <row r="50" ht="14" customHeight="1" s="120">
      <c r="A50" s="151" t="inlineStr">
        <is>
          <t>DIVESTING</t>
        </is>
      </c>
      <c r="B50" s="242" t="n"/>
      <c r="C50" s="242" t="n"/>
      <c r="D50" s="242" t="n"/>
      <c r="E50" s="242" t="n"/>
      <c r="F50" s="241" t="n"/>
    </row>
    <row r="51" ht="16" customHeight="1" s="120">
      <c r="A51" s="153" t="inlineStr">
        <is>
          <t>Lazaro Lopez</t>
        </is>
      </c>
      <c r="B51" s="154" t="inlineStr">
        <is>
          <t>3:45 AM</t>
        </is>
      </c>
      <c r="C51" s="155" t="inlineStr">
        <is>
          <t>North Divesting (#1)</t>
        </is>
      </c>
      <c r="D51" s="156" t="inlineStr">
        <is>
          <t>Lazaro Lopez</t>
        </is>
      </c>
      <c r="E51" s="154" t="inlineStr">
        <is>
          <t>3:45 AM</t>
        </is>
      </c>
      <c r="F51" s="161" t="inlineStr">
        <is>
          <t>Open</t>
        </is>
      </c>
    </row>
    <row r="52" ht="16" customHeight="1" s="120">
      <c r="A52" s="153" t="inlineStr">
        <is>
          <t>Maryse Camille</t>
        </is>
      </c>
      <c r="B52" s="243" t="inlineStr">
        <is>
          <t>3:45 AM</t>
        </is>
      </c>
      <c r="C52" s="158" t="inlineStr">
        <is>
          <t>North Divesting (#2)</t>
        </is>
      </c>
      <c r="D52" s="159" t="inlineStr">
        <is>
          <t>Kidest Solomon</t>
        </is>
      </c>
      <c r="E52" s="244" t="inlineStr">
        <is>
          <t>5:45 AM</t>
        </is>
      </c>
      <c r="F52" s="245" t="inlineStr">
        <is>
          <t>Tap-out → North Divesting (#4)</t>
        </is>
      </c>
    </row>
    <row r="53" ht="16" customHeight="1" s="120">
      <c r="A53" s="153" t="n"/>
      <c r="B53" s="154" t="n"/>
      <c r="C53" s="155" t="inlineStr">
        <is>
          <t>North Divesting (#3)</t>
        </is>
      </c>
      <c r="D53" s="159" t="inlineStr">
        <is>
          <t>Monique Hicks</t>
        </is>
      </c>
      <c r="E53" s="160" t="inlineStr">
        <is>
          <t>5:45 AM</t>
        </is>
      </c>
      <c r="F53" s="161" t="inlineStr">
        <is>
          <t>Zone mix</t>
        </is>
      </c>
    </row>
    <row r="54" ht="16" customHeight="1" s="120">
      <c r="A54" s="246" t="inlineStr">
        <is>
          <t>Maryse Camille</t>
        </is>
      </c>
      <c r="B54" s="247" t="inlineStr">
        <is>
          <t>3:45 AM</t>
        </is>
      </c>
      <c r="C54" s="158" t="inlineStr">
        <is>
          <t>North Divesting (#4)</t>
        </is>
      </c>
      <c r="D54" s="248" t="inlineStr">
        <is>
          <t>Maryse Camille</t>
        </is>
      </c>
      <c r="E54" s="247" t="inlineStr">
        <is>
          <t>3:45 AM</t>
        </is>
      </c>
      <c r="F54" s="245" t="inlineStr">
        <is>
          <t>From North Divesting (#2)</t>
        </is>
      </c>
    </row>
    <row r="55" ht="16" customHeight="1" s="120">
      <c r="A55" s="153" t="inlineStr">
        <is>
          <t>Moneshia Echols</t>
        </is>
      </c>
      <c r="B55" s="154" t="inlineStr">
        <is>
          <t>3:45 AM</t>
        </is>
      </c>
      <c r="C55" s="155" t="inlineStr">
        <is>
          <t>Lower North Divesting (#1)</t>
        </is>
      </c>
      <c r="D55" s="156" t="inlineStr">
        <is>
          <t>Moneshia Echols</t>
        </is>
      </c>
      <c r="E55" s="154" t="inlineStr">
        <is>
          <t>3:45 AM</t>
        </is>
      </c>
      <c r="F55" s="161" t="inlineStr">
        <is>
          <t>Open</t>
        </is>
      </c>
    </row>
    <row r="56" ht="16" customHeight="1" s="120">
      <c r="A56" s="153" t="n"/>
      <c r="B56" s="154" t="n"/>
      <c r="C56" s="158" t="inlineStr">
        <is>
          <t>Lower North Divesting (#2)</t>
        </is>
      </c>
      <c r="D56" s="159" t="inlineStr">
        <is>
          <t>Kimora Mcnair</t>
        </is>
      </c>
      <c r="E56" s="160" t="inlineStr">
        <is>
          <t>5:45 AM</t>
        </is>
      </c>
      <c r="F56" s="161" t="inlineStr">
        <is>
          <t>Start 5:45</t>
        </is>
      </c>
    </row>
    <row r="57" ht="16" customHeight="1" s="120">
      <c r="A57" s="153" t="n"/>
      <c r="B57" s="154" t="n"/>
      <c r="C57" s="155" t="inlineStr">
        <is>
          <t>Lower North Divesting (#3)</t>
        </is>
      </c>
      <c r="D57" s="159" t="inlineStr">
        <is>
          <t>Lynn Yi-Smith</t>
        </is>
      </c>
      <c r="E57" s="160" t="inlineStr">
        <is>
          <t>5:45 AM</t>
        </is>
      </c>
      <c r="F57" s="161" t="inlineStr">
        <is>
          <t>Start 5:45</t>
        </is>
      </c>
    </row>
    <row r="58" ht="14" customHeight="1" s="120">
      <c r="A58" s="151" t="inlineStr">
        <is>
          <t>ROVER / RELIEF POOL</t>
        </is>
      </c>
      <c r="B58" s="242" t="n"/>
      <c r="C58" s="242" t="n"/>
      <c r="D58" s="242" t="n"/>
      <c r="E58" s="242" t="n"/>
      <c r="F58" s="241" t="n"/>
    </row>
    <row r="59" ht="16" customHeight="1" s="120">
      <c r="A59" s="153" t="n"/>
      <c r="B59" s="154" t="n"/>
      <c r="C59" s="155" t="inlineStr">
        <is>
          <t>Rover (#1)</t>
        </is>
      </c>
      <c r="D59" s="159" t="inlineStr">
        <is>
          <t>Mosrur Jafer</t>
        </is>
      </c>
      <c r="E59" s="160" t="inlineStr">
        <is>
          <t>5:45 AM</t>
        </is>
      </c>
      <c r="F59" s="161" t="inlineStr">
        <is>
          <t>Rover</t>
        </is>
      </c>
    </row>
    <row r="60" ht="16" customHeight="1" s="120">
      <c r="A60" s="153" t="n"/>
      <c r="B60" s="154" t="n"/>
      <c r="C60" s="158" t="inlineStr">
        <is>
          <t>Rover (#2)</t>
        </is>
      </c>
      <c r="D60" s="159" t="inlineStr">
        <is>
          <t>Mwasiti Sadiki</t>
        </is>
      </c>
      <c r="E60" s="160" t="inlineStr">
        <is>
          <t>5:45 AM</t>
        </is>
      </c>
      <c r="F60" s="161" t="inlineStr">
        <is>
          <t>Rover</t>
        </is>
      </c>
    </row>
    <row r="61" ht="16" customHeight="1" s="120">
      <c r="A61" s="153" t="n"/>
      <c r="B61" s="154" t="n"/>
      <c r="C61" s="155" t="inlineStr">
        <is>
          <t>Rover (#3)</t>
        </is>
      </c>
      <c r="D61" s="159" t="inlineStr">
        <is>
          <t>Salma Bardai</t>
        </is>
      </c>
      <c r="E61" s="160" t="inlineStr">
        <is>
          <t>5:45 AM</t>
        </is>
      </c>
      <c r="F61" s="161" t="inlineStr">
        <is>
          <t>Rover</t>
        </is>
      </c>
    </row>
    <row r="62" ht="16" customHeight="1" s="120">
      <c r="A62" s="153" t="n"/>
      <c r="B62" s="154" t="n"/>
      <c r="C62" s="158" t="inlineStr">
        <is>
          <t>Rover (#4)</t>
        </is>
      </c>
      <c r="D62" s="159" t="inlineStr">
        <is>
          <t>Samiroe Ford</t>
        </is>
      </c>
      <c r="E62" s="160" t="inlineStr">
        <is>
          <t>5:45 AM</t>
        </is>
      </c>
      <c r="F62" s="161" t="inlineStr">
        <is>
          <t>Rover</t>
        </is>
      </c>
    </row>
    <row r="63" ht="16" customHeight="1" s="120">
      <c r="A63" s="153" t="n"/>
      <c r="B63" s="154" t="n"/>
      <c r="C63" s="155" t="inlineStr">
        <is>
          <t>Rover (#5)</t>
        </is>
      </c>
      <c r="D63" s="159" t="inlineStr">
        <is>
          <t>Sara Alemu</t>
        </is>
      </c>
      <c r="E63" s="160" t="inlineStr">
        <is>
          <t>5:45 AM</t>
        </is>
      </c>
      <c r="F63" s="161" t="inlineStr">
        <is>
          <t>Rover</t>
        </is>
      </c>
    </row>
    <row r="64" ht="16" customHeight="1" s="120">
      <c r="A64" s="153" t="n"/>
      <c r="B64" s="154" t="n"/>
      <c r="C64" s="158" t="inlineStr">
        <is>
          <t>Rover (#6)</t>
        </is>
      </c>
      <c r="D64" s="159" t="inlineStr">
        <is>
          <t>Shanta Islam</t>
        </is>
      </c>
      <c r="E64" s="160" t="inlineStr">
        <is>
          <t>5:45 AM</t>
        </is>
      </c>
      <c r="F64" s="161" t="inlineStr">
        <is>
          <t>Rover</t>
        </is>
      </c>
    </row>
    <row r="65" ht="16" customHeight="1" s="120">
      <c r="A65" s="153" t="n"/>
      <c r="B65" s="154" t="n"/>
      <c r="C65" s="155" t="inlineStr">
        <is>
          <t>Rover (#7)</t>
        </is>
      </c>
      <c r="D65" s="159" t="inlineStr">
        <is>
          <t>Teasia Arnold</t>
        </is>
      </c>
      <c r="E65" s="160" t="inlineStr">
        <is>
          <t>5:45 AM</t>
        </is>
      </c>
      <c r="F65" s="161" t="inlineStr">
        <is>
          <t>Rover</t>
        </is>
      </c>
    </row>
    <row r="66" ht="16" customHeight="1" s="120">
      <c r="A66" s="153" t="n"/>
      <c r="B66" s="154" t="n"/>
      <c r="C66" s="158" t="inlineStr">
        <is>
          <t>Rover (#8)</t>
        </is>
      </c>
      <c r="D66" s="159" t="inlineStr">
        <is>
          <t>Terrell Leath</t>
        </is>
      </c>
      <c r="E66" s="160" t="inlineStr">
        <is>
          <t>5:45 AM</t>
        </is>
      </c>
      <c r="F66" s="161" t="inlineStr">
        <is>
          <t>Rover</t>
        </is>
      </c>
    </row>
    <row r="67">
      <c r="A67" s="165" t="inlineStr">
        <is>
          <t>Leads manage breaks in-zone. White=early stay · Green=late arrival · Orange=UNFILLED</t>
        </is>
      </c>
    </row>
  </sheetData>
  <mergeCells count="15">
    <mergeCell ref="A33:F33"/>
    <mergeCell ref="B2:C2"/>
    <mergeCell ref="A13:F13"/>
    <mergeCell ref="A1:F1"/>
    <mergeCell ref="A23:F23"/>
    <mergeCell ref="B3:F3"/>
    <mergeCell ref="A67:F67"/>
    <mergeCell ref="A29:F29"/>
    <mergeCell ref="A6:F6"/>
    <mergeCell ref="A58:F58"/>
    <mergeCell ref="A50:F50"/>
    <mergeCell ref="A4:F4"/>
    <mergeCell ref="A48:F48"/>
    <mergeCell ref="A15:F15"/>
    <mergeCell ref="A43:F43"/>
  </mergeCells>
  <pageMargins left="0.4" right="0.4" top="0.4" bottom="0.4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1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34" min="1" max="1"/>
    <col width="24" customWidth="1" style="134" min="2" max="2"/>
    <col width="18" customWidth="1" style="134" min="3" max="3"/>
    <col width="9" customWidth="1" style="134" min="4" max="4"/>
    <col width="18" customWidth="1" style="134" min="5" max="5"/>
    <col width="9" customWidth="1" style="134" min="6" max="6"/>
    <col width="12" customWidth="1" style="134" min="7" max="7"/>
  </cols>
  <sheetData>
    <row r="1" ht="21.75" customHeight="1" s="120">
      <c r="A1" s="166" t="inlineStr">
        <is>
          <t>CLIENT ASSIGNMENT SHEET — FROM AM / PM PLAYBOOKS ONLY</t>
        </is>
      </c>
    </row>
    <row r="2" ht="15" customHeight="1" s="120">
      <c r="A2" s="167" t="inlineStr">
        <is>
          <t>Date:</t>
        </is>
      </c>
      <c r="B2" s="168">
        <f>'Control Center'!B3</f>
        <v/>
      </c>
      <c r="C2" s="129" t="n"/>
    </row>
    <row r="3" ht="25.5" customHeight="1" s="120">
      <c r="A3" s="169" t="inlineStr">
        <is>
          <t>NEVER assigns employees. Names copied from playbooks only. Fix assignments on AM/PM Operations Playbook, then re-open or re-export this sheet. Print AM block or PM block as needed.</t>
        </is>
      </c>
    </row>
    <row r="5" ht="15.75" customHeight="1" s="120">
      <c r="A5" s="170" t="inlineStr">
        <is>
          <t>AM CLIENT VIEW — AM Operations Playbook (3:45 | full ops after 5:45)</t>
        </is>
      </c>
      <c r="B5" s="128" t="n"/>
      <c r="C5" s="128" t="n"/>
      <c r="D5" s="128" t="n"/>
      <c r="E5" s="128" t="n"/>
      <c r="F5" s="128" t="n"/>
      <c r="G5" s="129" t="n"/>
    </row>
    <row r="6" ht="15" customHeight="1" s="120">
      <c r="A6" s="171" t="inlineStr">
        <is>
          <t>#</t>
        </is>
      </c>
      <c r="B6" s="171" t="inlineStr">
        <is>
          <t>POSITION</t>
        </is>
      </c>
      <c r="C6" s="171" t="inlineStr">
        <is>
          <t>Name (3:45)</t>
        </is>
      </c>
      <c r="D6" s="171" t="inlineStr">
        <is>
          <t>Shift</t>
        </is>
      </c>
      <c r="E6" s="171" t="inlineStr">
        <is>
          <t>Name (5:45 full ops)</t>
        </is>
      </c>
      <c r="F6" s="171" t="inlineStr">
        <is>
          <t>Shift</t>
        </is>
      </c>
      <c r="G6" s="171" t="inlineStr">
        <is>
          <t>Source</t>
        </is>
      </c>
    </row>
    <row r="7" ht="12" customHeight="1" s="120">
      <c r="A7" s="172" t="inlineStr">
        <is>
          <t>MAIN SECURITY CHECKPOINT</t>
        </is>
      </c>
      <c r="B7" s="128" t="n"/>
      <c r="C7" s="128" t="n"/>
      <c r="D7" s="128" t="n"/>
      <c r="E7" s="128" t="n"/>
      <c r="F7" s="128" t="n"/>
      <c r="G7" s="129" t="n"/>
    </row>
    <row r="8" ht="13.5" customHeight="1" s="120">
      <c r="A8" s="173" t="n">
        <v>1</v>
      </c>
      <c r="B8" s="142" t="inlineStr">
        <is>
          <t>Front Entrance (#1)</t>
        </is>
      </c>
      <c r="C8" s="143" t="inlineStr">
        <is>
          <t>Khadijah Van Holten</t>
        </is>
      </c>
      <c r="D8" s="173" t="inlineStr">
        <is>
          <t>3:45 AM</t>
        </is>
      </c>
      <c r="E8" s="143" t="inlineStr">
        <is>
          <t>Kidest Solomon</t>
        </is>
      </c>
      <c r="F8" s="173" t="inlineStr">
        <is>
          <t>5:45 AM</t>
        </is>
      </c>
      <c r="G8" s="174" t="inlineStr">
        <is>
          <t>AM Playbook</t>
        </is>
      </c>
    </row>
    <row r="9" ht="13.5" customHeight="1" s="120">
      <c r="A9" s="173" t="n">
        <v>2</v>
      </c>
      <c r="B9" s="142" t="inlineStr">
        <is>
          <t>Front Entrance (#2)</t>
        </is>
      </c>
      <c r="C9" s="143" t="inlineStr">
        <is>
          <t>Maryse Camille</t>
        </is>
      </c>
      <c r="D9" s="173" t="inlineStr">
        <is>
          <t>3:45 AM</t>
        </is>
      </c>
      <c r="E9" s="143" t="inlineStr">
        <is>
          <t>Maryse Camille</t>
        </is>
      </c>
      <c r="F9" s="173" t="inlineStr">
        <is>
          <t>3:45 AM</t>
        </is>
      </c>
      <c r="G9" s="174" t="inlineStr">
        <is>
          <t>AM Playbook</t>
        </is>
      </c>
    </row>
    <row r="10" ht="13.5" customHeight="1" s="120">
      <c r="A10" s="173" t="n">
        <v>3</v>
      </c>
      <c r="B10" s="142" t="inlineStr">
        <is>
          <t>ADA Entrance (1)</t>
        </is>
      </c>
      <c r="C10" s="143" t="inlineStr">
        <is>
          <t>Larry Fuller</t>
        </is>
      </c>
      <c r="D10" s="173" t="inlineStr">
        <is>
          <t>3:45 AM</t>
        </is>
      </c>
      <c r="E10" s="143" t="inlineStr">
        <is>
          <t>Shanta Islam</t>
        </is>
      </c>
      <c r="F10" s="173" t="inlineStr">
        <is>
          <t>5:45 AM</t>
        </is>
      </c>
      <c r="G10" s="174" t="inlineStr">
        <is>
          <t>AM Playbook</t>
        </is>
      </c>
    </row>
    <row r="11" ht="13.5" customHeight="1" s="120">
      <c r="A11" s="173" t="n">
        <v>4</v>
      </c>
      <c r="B11" s="142" t="inlineStr">
        <is>
          <t>Lanes 17-18 (1)</t>
        </is>
      </c>
      <c r="C11" s="143" t="inlineStr">
        <is>
          <t>Tiffany Felton</t>
        </is>
      </c>
      <c r="D11" s="173" t="inlineStr">
        <is>
          <t>3:45 AM</t>
        </is>
      </c>
      <c r="E11" s="143" t="inlineStr">
        <is>
          <t>Tiffany Felton</t>
        </is>
      </c>
      <c r="F11" s="173" t="inlineStr">
        <is>
          <t>3:45 AM</t>
        </is>
      </c>
      <c r="G11" s="174" t="inlineStr">
        <is>
          <t>AM Playbook</t>
        </is>
      </c>
    </row>
    <row r="12" ht="13.5" customHeight="1" s="120">
      <c r="A12" s="173" t="n">
        <v>5</v>
      </c>
      <c r="B12" s="142" t="inlineStr">
        <is>
          <t>Inside Center (1)</t>
        </is>
      </c>
      <c r="C12" s="143" t="inlineStr">
        <is>
          <t>Demetrius Thomas</t>
        </is>
      </c>
      <c r="D12" s="173" t="inlineStr">
        <is>
          <t>3:45 AM</t>
        </is>
      </c>
      <c r="E12" s="143" t="inlineStr">
        <is>
          <t>Demetrius Thomas</t>
        </is>
      </c>
      <c r="F12" s="173" t="inlineStr">
        <is>
          <t>3:45 AM</t>
        </is>
      </c>
      <c r="G12" s="174" t="inlineStr">
        <is>
          <t>AM Playbook</t>
        </is>
      </c>
    </row>
    <row r="13" ht="13.5" customHeight="1" s="120">
      <c r="A13" s="173" t="n">
        <v>6</v>
      </c>
      <c r="B13" s="142" t="inlineStr">
        <is>
          <t>Lanes 1-3/Pre-Check (1)</t>
        </is>
      </c>
      <c r="C13" s="143" t="n"/>
      <c r="D13" s="173" t="n"/>
      <c r="E13" s="143" t="inlineStr">
        <is>
          <t>Jada Batiste</t>
        </is>
      </c>
      <c r="F13" s="173" t="inlineStr">
        <is>
          <t>5:45 AM</t>
        </is>
      </c>
      <c r="G13" s="174" t="inlineStr">
        <is>
          <t>AM Playbook</t>
        </is>
      </c>
    </row>
    <row r="14" ht="12" customHeight="1" s="120">
      <c r="A14" s="172" t="inlineStr">
        <is>
          <t>ATRIUM</t>
        </is>
      </c>
      <c r="B14" s="128" t="n"/>
      <c r="C14" s="128" t="n"/>
      <c r="D14" s="128" t="n"/>
      <c r="E14" s="128" t="n"/>
      <c r="F14" s="128" t="n"/>
      <c r="G14" s="129" t="n"/>
    </row>
    <row r="15" ht="13.5" customHeight="1" s="120">
      <c r="A15" s="173" t="n">
        <v>7</v>
      </c>
      <c r="B15" s="142" t="inlineStr">
        <is>
          <t>KIA (1)</t>
        </is>
      </c>
      <c r="C15" s="143" t="inlineStr">
        <is>
          <t>Natasha Carbon</t>
        </is>
      </c>
      <c r="D15" s="173" t="inlineStr">
        <is>
          <t>3:45 AM</t>
        </is>
      </c>
      <c r="E15" s="143" t="inlineStr">
        <is>
          <t>Natasha Carbon</t>
        </is>
      </c>
      <c r="F15" s="173" t="inlineStr">
        <is>
          <t>3:45 AM</t>
        </is>
      </c>
      <c r="G15" s="174" t="inlineStr">
        <is>
          <t>AM Playbook</t>
        </is>
      </c>
    </row>
    <row r="16" ht="12" customHeight="1" s="120">
      <c r="A16" s="172" t="inlineStr">
        <is>
          <t>SOUTH SECURITY CHECKPOINT</t>
        </is>
      </c>
      <c r="B16" s="128" t="n"/>
      <c r="C16" s="128" t="n"/>
      <c r="D16" s="128" t="n"/>
      <c r="E16" s="128" t="n"/>
      <c r="F16" s="128" t="n"/>
      <c r="G16" s="129" t="n"/>
    </row>
    <row r="17" ht="13.5" customHeight="1" s="120">
      <c r="A17" s="173" t="n">
        <v>8</v>
      </c>
      <c r="B17" s="142" t="inlineStr">
        <is>
          <t>Checkpoint – Front Entrance (#1)</t>
        </is>
      </c>
      <c r="C17" s="143" t="n"/>
      <c r="D17" s="173" t="n"/>
      <c r="E17" s="143" t="inlineStr">
        <is>
          <t>Lynn Yi-Smith</t>
        </is>
      </c>
      <c r="F17" s="173" t="inlineStr">
        <is>
          <t>5:45 AM</t>
        </is>
      </c>
      <c r="G17" s="174" t="inlineStr">
        <is>
          <t>AM Playbook</t>
        </is>
      </c>
    </row>
    <row r="18" ht="13.5" customHeight="1" s="120">
      <c r="A18" s="173" t="n">
        <v>9</v>
      </c>
      <c r="B18" s="142" t="inlineStr">
        <is>
          <t>Checkpoint – Front Entrance (#2)</t>
        </is>
      </c>
      <c r="C18" s="143" t="inlineStr">
        <is>
          <t>Brianna Bryant</t>
        </is>
      </c>
      <c r="D18" s="173" t="inlineStr">
        <is>
          <t>3:45 AM</t>
        </is>
      </c>
      <c r="E18" s="143" t="inlineStr">
        <is>
          <t>Brianna Bryant</t>
        </is>
      </c>
      <c r="F18" s="173" t="inlineStr">
        <is>
          <t>3:45 AM</t>
        </is>
      </c>
      <c r="G18" s="174" t="inlineStr">
        <is>
          <t>AM Playbook</t>
        </is>
      </c>
    </row>
    <row r="19" ht="13.5" customHeight="1" s="120">
      <c r="A19" s="173" t="n">
        <v>10</v>
      </c>
      <c r="B19" s="142" t="inlineStr">
        <is>
          <t>Checkpoint – Inside (#1)</t>
        </is>
      </c>
      <c r="C19" s="143" t="inlineStr">
        <is>
          <t>Maryse Camille</t>
        </is>
      </c>
      <c r="D19" s="173" t="inlineStr">
        <is>
          <t>3:45 AM</t>
        </is>
      </c>
      <c r="E19" s="143" t="inlineStr">
        <is>
          <t>Sarita Jewell</t>
        </is>
      </c>
      <c r="F19" s="173" t="inlineStr">
        <is>
          <t>5:45 AM</t>
        </is>
      </c>
      <c r="G19" s="174" t="inlineStr">
        <is>
          <t>AM Playbook</t>
        </is>
      </c>
    </row>
    <row r="20" ht="13.5" customHeight="1" s="120">
      <c r="A20" s="173" t="n">
        <v>11</v>
      </c>
      <c r="B20" s="142" t="inlineStr">
        <is>
          <t>Checkpoint – Inside (#2)</t>
        </is>
      </c>
      <c r="C20" s="143" t="n"/>
      <c r="D20" s="173" t="n"/>
      <c r="E20" s="143" t="inlineStr">
        <is>
          <t>Jamal Reynolds</t>
        </is>
      </c>
      <c r="F20" s="173" t="inlineStr">
        <is>
          <t>5:45 AM</t>
        </is>
      </c>
      <c r="G20" s="174" t="inlineStr">
        <is>
          <t>AM Playbook</t>
        </is>
      </c>
    </row>
    <row r="21" ht="13.5" customHeight="1" s="120">
      <c r="A21" s="173" t="n">
        <v>12</v>
      </c>
      <c r="B21" s="142" t="inlineStr">
        <is>
          <t>Hallway Pre-check Overflow (1)</t>
        </is>
      </c>
      <c r="C21" s="143" t="inlineStr">
        <is>
          <t>Kimberly Morrison</t>
        </is>
      </c>
      <c r="D21" s="173" t="inlineStr">
        <is>
          <t>3:45 AM</t>
        </is>
      </c>
      <c r="E21" s="143" t="inlineStr">
        <is>
          <t>Kimberly Morrison</t>
        </is>
      </c>
      <c r="F21" s="173" t="inlineStr">
        <is>
          <t>3:45 AM</t>
        </is>
      </c>
      <c r="G21" s="174" t="inlineStr">
        <is>
          <t>AM Playbook</t>
        </is>
      </c>
    </row>
    <row r="22" ht="13.5" customHeight="1" s="120">
      <c r="A22" s="173" t="n">
        <v>13</v>
      </c>
      <c r="B22" s="142" t="inlineStr">
        <is>
          <t>South Restroom (1)</t>
        </is>
      </c>
      <c r="C22" s="143" t="inlineStr">
        <is>
          <t>Jessika Williams</t>
        </is>
      </c>
      <c r="D22" s="173" t="inlineStr">
        <is>
          <t>3:45 AM</t>
        </is>
      </c>
      <c r="E22" s="143" t="inlineStr">
        <is>
          <t>Jessika Williams</t>
        </is>
      </c>
      <c r="F22" s="173" t="inlineStr">
        <is>
          <t>3:45 AM</t>
        </is>
      </c>
      <c r="G22" s="174" t="inlineStr">
        <is>
          <t>AM Playbook</t>
        </is>
      </c>
    </row>
    <row r="23" ht="13.5" customHeight="1" s="120">
      <c r="A23" s="173" t="n">
        <v>14</v>
      </c>
      <c r="B23" s="142" t="inlineStr">
        <is>
          <t>IHOP (1)</t>
        </is>
      </c>
      <c r="C23" s="143" t="inlineStr">
        <is>
          <t>Khadijah Van Holten</t>
        </is>
      </c>
      <c r="D23" s="173" t="inlineStr">
        <is>
          <t>3:45 AM</t>
        </is>
      </c>
      <c r="E23" s="143" t="inlineStr">
        <is>
          <t>Khadijah Van Holten</t>
        </is>
      </c>
      <c r="F23" s="173" t="inlineStr">
        <is>
          <t>3:45 AM</t>
        </is>
      </c>
      <c r="G23" s="174" t="inlineStr">
        <is>
          <t>AM Playbook</t>
        </is>
      </c>
    </row>
    <row r="24" ht="12" customHeight="1" s="120">
      <c r="A24" s="172" t="inlineStr">
        <is>
          <t>NORTH SECURITY CHECKPOINT</t>
        </is>
      </c>
      <c r="B24" s="128" t="n"/>
      <c r="C24" s="128" t="n"/>
      <c r="D24" s="128" t="n"/>
      <c r="E24" s="128" t="n"/>
      <c r="F24" s="128" t="n"/>
      <c r="G24" s="129" t="n"/>
    </row>
    <row r="25" ht="13.5" customHeight="1" s="120">
      <c r="A25" s="173" t="n">
        <v>15</v>
      </c>
      <c r="B25" s="142" t="inlineStr">
        <is>
          <t>Checkpoint – Inside (1)</t>
        </is>
      </c>
      <c r="C25" s="143" t="inlineStr">
        <is>
          <t>Kimberly Morrison</t>
        </is>
      </c>
      <c r="D25" s="173" t="inlineStr">
        <is>
          <t>3:45 AM</t>
        </is>
      </c>
      <c r="E25" s="143" t="inlineStr">
        <is>
          <t>Ashia Norman</t>
        </is>
      </c>
      <c r="F25" s="173" t="inlineStr">
        <is>
          <t>5:45 AM</t>
        </is>
      </c>
      <c r="G25" s="174" t="inlineStr">
        <is>
          <t>AM Playbook</t>
        </is>
      </c>
    </row>
    <row r="26" ht="13.5" customHeight="1" s="120">
      <c r="A26" s="173" t="n">
        <v>16</v>
      </c>
      <c r="B26" s="142" t="inlineStr">
        <is>
          <t>North Corridor (1)</t>
        </is>
      </c>
      <c r="C26" s="143" t="inlineStr">
        <is>
          <t>Benjamin Crosby</t>
        </is>
      </c>
      <c r="D26" s="173" t="inlineStr">
        <is>
          <t>3:45 AM</t>
        </is>
      </c>
      <c r="E26" s="143" t="inlineStr">
        <is>
          <t>Benjamin Crosby</t>
        </is>
      </c>
      <c r="F26" s="173" t="inlineStr">
        <is>
          <t>3:45 AM</t>
        </is>
      </c>
      <c r="G26" s="174" t="inlineStr">
        <is>
          <t>AM Playbook</t>
        </is>
      </c>
    </row>
    <row r="27" ht="13.5" customHeight="1" s="120">
      <c r="A27" s="173" t="n">
        <v>17</v>
      </c>
      <c r="B27" s="142" t="inlineStr">
        <is>
          <t>North Restroom Hallway (#1)</t>
        </is>
      </c>
      <c r="C27" s="143" t="inlineStr">
        <is>
          <t>Tanya Organ</t>
        </is>
      </c>
      <c r="D27" s="173" t="inlineStr">
        <is>
          <t>3:45 AM</t>
        </is>
      </c>
      <c r="E27" s="143" t="inlineStr">
        <is>
          <t>Tanya Organ</t>
        </is>
      </c>
      <c r="F27" s="173" t="inlineStr">
        <is>
          <t>3:45 AM</t>
        </is>
      </c>
      <c r="G27" s="174" t="inlineStr">
        <is>
          <t>AM Playbook</t>
        </is>
      </c>
    </row>
    <row r="28" ht="13.5" customHeight="1" s="120">
      <c r="A28" s="173" t="n">
        <v>18</v>
      </c>
      <c r="B28" s="142" t="inlineStr">
        <is>
          <t>North Restroom Hallway (#2)</t>
        </is>
      </c>
      <c r="C28" s="143" t="inlineStr">
        <is>
          <t>Ahamed John</t>
        </is>
      </c>
      <c r="D28" s="173" t="inlineStr">
        <is>
          <t>3:45 AM</t>
        </is>
      </c>
      <c r="E28" s="143" t="inlineStr">
        <is>
          <t>Ahamed John</t>
        </is>
      </c>
      <c r="F28" s="173" t="inlineStr">
        <is>
          <t>3:45 AM</t>
        </is>
      </c>
      <c r="G28" s="174" t="inlineStr">
        <is>
          <t>AM Playbook</t>
        </is>
      </c>
    </row>
    <row r="29" ht="13.5" customHeight="1" s="120">
      <c r="A29" s="173" t="n">
        <v>19</v>
      </c>
      <c r="B29" s="142" t="inlineStr">
        <is>
          <t>We Juice It (1)</t>
        </is>
      </c>
      <c r="C29" s="143" t="inlineStr">
        <is>
          <t>Larry Fuller</t>
        </is>
      </c>
      <c r="D29" s="173" t="inlineStr">
        <is>
          <t>3:45 AM</t>
        </is>
      </c>
      <c r="E29" s="143" t="inlineStr">
        <is>
          <t>Larry Fuller</t>
        </is>
      </c>
      <c r="F29" s="173" t="inlineStr">
        <is>
          <t>3:45 AM</t>
        </is>
      </c>
      <c r="G29" s="174" t="inlineStr">
        <is>
          <t>AM Playbook</t>
        </is>
      </c>
    </row>
    <row r="30" ht="12" customHeight="1" s="120">
      <c r="A30" s="172" t="inlineStr">
        <is>
          <t>LOWER NORTH SECURITY CHECKPOINT</t>
        </is>
      </c>
      <c r="B30" s="128" t="n"/>
      <c r="C30" s="128" t="n"/>
      <c r="D30" s="128" t="n"/>
      <c r="E30" s="128" t="n"/>
      <c r="F30" s="128" t="n"/>
      <c r="G30" s="129" t="n"/>
    </row>
    <row r="31" ht="13.5" customHeight="1" s="120">
      <c r="A31" s="173" t="n">
        <v>20</v>
      </c>
      <c r="B31" s="142" t="inlineStr">
        <is>
          <t>Checkpoint – Inside (1)</t>
        </is>
      </c>
      <c r="C31" s="143" t="inlineStr">
        <is>
          <t>Jessika Williams</t>
        </is>
      </c>
      <c r="D31" s="173" t="inlineStr">
        <is>
          <t>3:45 AM</t>
        </is>
      </c>
      <c r="E31" s="143" t="inlineStr">
        <is>
          <t>Adeyeye Opaaje</t>
        </is>
      </c>
      <c r="F31" s="173" t="inlineStr">
        <is>
          <t>5:45 AM</t>
        </is>
      </c>
      <c r="G31" s="174" t="inlineStr">
        <is>
          <t>AM Playbook</t>
        </is>
      </c>
    </row>
    <row r="32" ht="13.5" customHeight="1" s="120">
      <c r="A32" s="173" t="n">
        <v>21</v>
      </c>
      <c r="B32" s="142" t="inlineStr">
        <is>
          <t>N5 Door (1)</t>
        </is>
      </c>
      <c r="C32" s="175" t="inlineStr">
        <is>
          <t>UNFILLED</t>
        </is>
      </c>
      <c r="D32" s="173" t="n"/>
      <c r="E32" s="143" t="inlineStr">
        <is>
          <t>Habtewold Daba</t>
        </is>
      </c>
      <c r="F32" s="173" t="inlineStr">
        <is>
          <t>5:45 AM</t>
        </is>
      </c>
      <c r="G32" s="174" t="inlineStr">
        <is>
          <t>AM Playbook</t>
        </is>
      </c>
    </row>
    <row r="33" ht="13.5" customHeight="1" s="120">
      <c r="A33" s="173" t="n">
        <v>22</v>
      </c>
      <c r="B33" s="142" t="inlineStr">
        <is>
          <t>LN2 Elevator (1)</t>
        </is>
      </c>
      <c r="C33" s="143" t="n"/>
      <c r="D33" s="173" t="n"/>
      <c r="E33" s="143" t="inlineStr">
        <is>
          <t>Vanessa Cortes</t>
        </is>
      </c>
      <c r="F33" s="173" t="inlineStr">
        <is>
          <t>5:45 AM</t>
        </is>
      </c>
      <c r="G33" s="174" t="inlineStr">
        <is>
          <t>AM Playbook</t>
        </is>
      </c>
    </row>
    <row r="34" ht="12" customHeight="1" s="120">
      <c r="A34" s="172" t="inlineStr">
        <is>
          <t>AGT LEVEL</t>
        </is>
      </c>
      <c r="B34" s="128" t="n"/>
      <c r="C34" s="128" t="n"/>
      <c r="D34" s="128" t="n"/>
      <c r="E34" s="128" t="n"/>
      <c r="F34" s="128" t="n"/>
      <c r="G34" s="129" t="n"/>
    </row>
    <row r="35" ht="13.5" customHeight="1" s="120">
      <c r="A35" s="173" t="n">
        <v>23</v>
      </c>
      <c r="B35" s="142" t="inlineStr">
        <is>
          <t>T Platform Train Doors (#1)</t>
        </is>
      </c>
      <c r="C35" s="143" t="n"/>
      <c r="D35" s="173" t="n"/>
      <c r="E35" s="143" t="inlineStr">
        <is>
          <t>Mildred Torres</t>
        </is>
      </c>
      <c r="F35" s="173" t="inlineStr">
        <is>
          <t>5:45 AM</t>
        </is>
      </c>
      <c r="G35" s="174" t="inlineStr">
        <is>
          <t>AM Playbook</t>
        </is>
      </c>
    </row>
    <row r="36" ht="13.5" customHeight="1" s="120">
      <c r="A36" s="173" t="n">
        <v>24</v>
      </c>
      <c r="B36" s="142" t="inlineStr">
        <is>
          <t>T Platform Train Doors (#2)</t>
        </is>
      </c>
      <c r="C36" s="143" t="n"/>
      <c r="D36" s="173" t="n"/>
      <c r="E36" s="143" t="inlineStr">
        <is>
          <t>Monique Hicks</t>
        </is>
      </c>
      <c r="F36" s="173" t="inlineStr">
        <is>
          <t>5:45 AM</t>
        </is>
      </c>
      <c r="G36" s="174" t="inlineStr">
        <is>
          <t>AM Playbook</t>
        </is>
      </c>
    </row>
    <row r="37" ht="13.5" customHeight="1" s="120">
      <c r="A37" s="173" t="n">
        <v>25</v>
      </c>
      <c r="B37" s="142" t="inlineStr">
        <is>
          <t>Domestic Baggage Claim (1)</t>
        </is>
      </c>
      <c r="C37" s="143" t="n"/>
      <c r="D37" s="173" t="n"/>
      <c r="E37" s="143" t="inlineStr">
        <is>
          <t>Mamadou Seck</t>
        </is>
      </c>
      <c r="F37" s="173" t="inlineStr">
        <is>
          <t>5:45 AM</t>
        </is>
      </c>
      <c r="G37" s="174" t="inlineStr">
        <is>
          <t>AM Playbook</t>
        </is>
      </c>
    </row>
    <row r="38" ht="13.5" customHeight="1" s="120">
      <c r="A38" s="173" t="n">
        <v>26</v>
      </c>
      <c r="B38" s="142" t="inlineStr">
        <is>
          <t>T Bridge Landing (#1)</t>
        </is>
      </c>
      <c r="C38" s="143" t="n"/>
      <c r="D38" s="173" t="n"/>
      <c r="E38" s="143" t="inlineStr">
        <is>
          <t>Aleah Mckinnon</t>
        </is>
      </c>
      <c r="F38" s="173" t="inlineStr">
        <is>
          <t>5:45 AM</t>
        </is>
      </c>
      <c r="G38" s="174" t="inlineStr">
        <is>
          <t>AM Playbook</t>
        </is>
      </c>
    </row>
    <row r="39" ht="13.5" customHeight="1" s="120">
      <c r="A39" s="173" t="n">
        <v>27</v>
      </c>
      <c r="B39" s="142" t="inlineStr">
        <is>
          <t>T Bridge Landing (#2)</t>
        </is>
      </c>
      <c r="C39" s="143" t="n"/>
      <c r="D39" s="173" t="n"/>
      <c r="E39" s="143" t="inlineStr">
        <is>
          <t>Monica Ortiz</t>
        </is>
      </c>
      <c r="F39" s="173" t="inlineStr">
        <is>
          <t>5:45 AM</t>
        </is>
      </c>
      <c r="G39" s="174" t="inlineStr">
        <is>
          <t>AM Playbook</t>
        </is>
      </c>
    </row>
    <row r="40" ht="13.5" customHeight="1" s="120">
      <c r="A40" s="173" t="n">
        <v>28</v>
      </c>
      <c r="B40" s="142" t="inlineStr">
        <is>
          <t>Alpha West (1)</t>
        </is>
      </c>
      <c r="C40" s="143" t="n"/>
      <c r="D40" s="173" t="n"/>
      <c r="E40" s="143" t="inlineStr">
        <is>
          <t>Yahkirah Manggrum</t>
        </is>
      </c>
      <c r="F40" s="173" t="inlineStr">
        <is>
          <t>5:45 AM</t>
        </is>
      </c>
      <c r="G40" s="174" t="inlineStr">
        <is>
          <t>AM Playbook</t>
        </is>
      </c>
    </row>
    <row r="41" ht="13.5" customHeight="1" s="120">
      <c r="A41" s="173" t="n">
        <v>29</v>
      </c>
      <c r="B41" s="142" t="inlineStr">
        <is>
          <t>Bravo West (1)</t>
        </is>
      </c>
      <c r="C41" s="143" t="n"/>
      <c r="D41" s="173" t="n"/>
      <c r="E41" s="143" t="inlineStr">
        <is>
          <t>Isaiah Williams</t>
        </is>
      </c>
      <c r="F41" s="173" t="inlineStr">
        <is>
          <t>5:45 AM</t>
        </is>
      </c>
      <c r="G41" s="174" t="inlineStr">
        <is>
          <t>AM Playbook</t>
        </is>
      </c>
    </row>
    <row r="42" ht="13.5" customHeight="1" s="120">
      <c r="A42" s="173" t="n">
        <v>30</v>
      </c>
      <c r="B42" s="142" t="inlineStr">
        <is>
          <t>Charlie West (1)</t>
        </is>
      </c>
      <c r="C42" s="143" t="n"/>
      <c r="D42" s="173" t="n"/>
      <c r="E42" s="143" t="inlineStr">
        <is>
          <t>Marquise Jackson</t>
        </is>
      </c>
      <c r="F42" s="173" t="inlineStr">
        <is>
          <t>5:45 AM</t>
        </is>
      </c>
      <c r="G42" s="174" t="inlineStr">
        <is>
          <t>AM Playbook</t>
        </is>
      </c>
    </row>
    <row r="43" ht="13.5" customHeight="1" s="120">
      <c r="A43" s="173" t="n">
        <v>31</v>
      </c>
      <c r="B43" s="142" t="inlineStr">
        <is>
          <t>Delta West (1)</t>
        </is>
      </c>
      <c r="C43" s="143" t="n"/>
      <c r="D43" s="173" t="n"/>
      <c r="E43" s="143" t="inlineStr">
        <is>
          <t>Feleke Tekle</t>
        </is>
      </c>
      <c r="F43" s="173" t="inlineStr">
        <is>
          <t>5:45 AM</t>
        </is>
      </c>
      <c r="G43" s="174" t="inlineStr">
        <is>
          <t>AM Playbook</t>
        </is>
      </c>
    </row>
    <row r="44" ht="12" customHeight="1" s="120">
      <c r="A44" s="172" t="inlineStr">
        <is>
          <t>SURVEYS</t>
        </is>
      </c>
      <c r="B44" s="128" t="n"/>
      <c r="C44" s="128" t="n"/>
      <c r="D44" s="128" t="n"/>
      <c r="E44" s="128" t="n"/>
      <c r="F44" s="128" t="n"/>
      <c r="G44" s="129" t="n"/>
    </row>
    <row r="45" ht="13.5" customHeight="1" s="120">
      <c r="A45" s="173" t="n">
        <v>32</v>
      </c>
      <c r="B45" s="142" t="inlineStr">
        <is>
          <t>Surveyor (#1)</t>
        </is>
      </c>
      <c r="C45" s="143" t="n"/>
      <c r="D45" s="173" t="n"/>
      <c r="E45" s="143" t="inlineStr">
        <is>
          <t>Chrystol Harvey</t>
        </is>
      </c>
      <c r="F45" s="173" t="inlineStr">
        <is>
          <t>5:45 AM</t>
        </is>
      </c>
      <c r="G45" s="174" t="inlineStr">
        <is>
          <t>AM Playbook</t>
        </is>
      </c>
    </row>
    <row r="46" ht="13.5" customHeight="1" s="120">
      <c r="A46" s="173" t="n">
        <v>33</v>
      </c>
      <c r="B46" s="142" t="inlineStr">
        <is>
          <t>Surveyor (#2)</t>
        </is>
      </c>
      <c r="C46" s="143" t="n"/>
      <c r="D46" s="173" t="n"/>
      <c r="E46" s="143" t="inlineStr">
        <is>
          <t>Cicely Thicklin</t>
        </is>
      </c>
      <c r="F46" s="173" t="inlineStr">
        <is>
          <t>5:45 AM</t>
        </is>
      </c>
      <c r="G46" s="174" t="inlineStr">
        <is>
          <t>AM Playbook</t>
        </is>
      </c>
    </row>
    <row r="47" ht="13.5" customHeight="1" s="120">
      <c r="A47" s="173" t="n">
        <v>34</v>
      </c>
      <c r="B47" s="142" t="inlineStr">
        <is>
          <t>Surveyor (#3)</t>
        </is>
      </c>
      <c r="C47" s="143" t="n"/>
      <c r="D47" s="173" t="n"/>
      <c r="E47" s="143" t="inlineStr">
        <is>
          <t>Jacquatta Green</t>
        </is>
      </c>
      <c r="F47" s="173" t="inlineStr">
        <is>
          <t>5:45 AM</t>
        </is>
      </c>
      <c r="G47" s="174" t="inlineStr">
        <is>
          <t>AM Playbook</t>
        </is>
      </c>
    </row>
    <row r="48" ht="13.5" customHeight="1" s="120">
      <c r="A48" s="173" t="n">
        <v>35</v>
      </c>
      <c r="B48" s="142" t="inlineStr">
        <is>
          <t>Surveyor (#4)</t>
        </is>
      </c>
      <c r="C48" s="175" t="inlineStr">
        <is>
          <t>UNFILLED</t>
        </is>
      </c>
      <c r="D48" s="173" t="n"/>
      <c r="E48" s="143" t="n"/>
      <c r="F48" s="173" t="n"/>
      <c r="G48" s="174" t="inlineStr">
        <is>
          <t>AM Playbook</t>
        </is>
      </c>
    </row>
    <row r="49" ht="12" customHeight="1" s="120">
      <c r="A49" s="172" t="inlineStr">
        <is>
          <t>INFORMATION DESK</t>
        </is>
      </c>
      <c r="B49" s="128" t="n"/>
      <c r="C49" s="128" t="n"/>
      <c r="D49" s="128" t="n"/>
      <c r="E49" s="128" t="n"/>
      <c r="F49" s="128" t="n"/>
      <c r="G49" s="129" t="n"/>
    </row>
    <row r="50" ht="13.5" customHeight="1" s="120">
      <c r="A50" s="173" t="n">
        <v>36</v>
      </c>
      <c r="B50" s="142" t="inlineStr">
        <is>
          <t>Information Desk Personnel</t>
        </is>
      </c>
      <c r="C50" s="143" t="n"/>
      <c r="D50" s="173" t="n"/>
      <c r="E50" s="143" t="inlineStr">
        <is>
          <t>Sandra Gerson</t>
        </is>
      </c>
      <c r="F50" s="173" t="inlineStr">
        <is>
          <t>5:45 AM</t>
        </is>
      </c>
      <c r="G50" s="174" t="inlineStr">
        <is>
          <t>AM Playbook</t>
        </is>
      </c>
    </row>
    <row r="51" ht="12" customHeight="1" s="120">
      <c r="A51" s="172" t="inlineStr">
        <is>
          <t>DIVESTING</t>
        </is>
      </c>
      <c r="B51" s="128" t="n"/>
      <c r="C51" s="128" t="n"/>
      <c r="D51" s="128" t="n"/>
      <c r="E51" s="128" t="n"/>
      <c r="F51" s="128" t="n"/>
      <c r="G51" s="129" t="n"/>
    </row>
    <row r="52" ht="13.5" customHeight="1" s="120">
      <c r="A52" s="173" t="n">
        <v>37</v>
      </c>
      <c r="B52" s="142" t="inlineStr">
        <is>
          <t>North Divesting (#1)</t>
        </is>
      </c>
      <c r="C52" s="143" t="inlineStr">
        <is>
          <t>Natasha Carbon</t>
        </is>
      </c>
      <c r="D52" s="173" t="inlineStr">
        <is>
          <t>3:45 AM</t>
        </is>
      </c>
      <c r="E52" s="143" t="inlineStr">
        <is>
          <t>Fikre Hadera</t>
        </is>
      </c>
      <c r="F52" s="173" t="inlineStr">
        <is>
          <t>5:45 AM</t>
        </is>
      </c>
      <c r="G52" s="174" t="inlineStr">
        <is>
          <t>AM Playbook</t>
        </is>
      </c>
    </row>
    <row r="53" ht="13.5" customHeight="1" s="120">
      <c r="A53" s="173" t="n">
        <v>38</v>
      </c>
      <c r="B53" s="142" t="inlineStr">
        <is>
          <t>North Divesting (#2)</t>
        </is>
      </c>
      <c r="C53" s="143" t="inlineStr">
        <is>
          <t>Ahamed John</t>
        </is>
      </c>
      <c r="D53" s="173" t="inlineStr">
        <is>
          <t>3:45 AM</t>
        </is>
      </c>
      <c r="E53" s="143" t="inlineStr">
        <is>
          <t>George Whitehead</t>
        </is>
      </c>
      <c r="F53" s="173" t="inlineStr">
        <is>
          <t>5:45 AM</t>
        </is>
      </c>
      <c r="G53" s="174" t="inlineStr">
        <is>
          <t>AM Playbook</t>
        </is>
      </c>
    </row>
    <row r="54" ht="13.5" customHeight="1" s="120">
      <c r="A54" s="173" t="n">
        <v>39</v>
      </c>
      <c r="B54" s="142" t="inlineStr">
        <is>
          <t>North Divesting (#3)</t>
        </is>
      </c>
      <c r="C54" s="143" t="inlineStr">
        <is>
          <t>Moneshia Echols</t>
        </is>
      </c>
      <c r="D54" s="173" t="inlineStr">
        <is>
          <t>3:45 AM</t>
        </is>
      </c>
      <c r="E54" s="143" t="inlineStr">
        <is>
          <t>Moneshia Echols</t>
        </is>
      </c>
      <c r="F54" s="173" t="inlineStr">
        <is>
          <t>3:45 AM</t>
        </is>
      </c>
      <c r="G54" s="174" t="inlineStr">
        <is>
          <t>AM Playbook</t>
        </is>
      </c>
    </row>
    <row r="55" ht="13.5" customHeight="1" s="120">
      <c r="A55" s="173" t="n">
        <v>40</v>
      </c>
      <c r="B55" s="142" t="inlineStr">
        <is>
          <t>North Divesting (#4)</t>
        </is>
      </c>
      <c r="C55" s="143" t="n"/>
      <c r="D55" s="173" t="n"/>
      <c r="E55" s="143" t="inlineStr">
        <is>
          <t>Micheal Manning</t>
        </is>
      </c>
      <c r="F55" s="173" t="inlineStr">
        <is>
          <t>5:45 AM</t>
        </is>
      </c>
      <c r="G55" s="174" t="inlineStr">
        <is>
          <t>AM Playbook</t>
        </is>
      </c>
    </row>
    <row r="56" ht="13.5" customHeight="1" s="120">
      <c r="A56" s="173" t="n">
        <v>41</v>
      </c>
      <c r="B56" s="142" t="inlineStr">
        <is>
          <t>Lower North Divesting (#1)</t>
        </is>
      </c>
      <c r="C56" s="143" t="inlineStr">
        <is>
          <t>Allen Suggs</t>
        </is>
      </c>
      <c r="D56" s="173" t="inlineStr">
        <is>
          <t>3:45 AM</t>
        </is>
      </c>
      <c r="E56" s="143" t="inlineStr">
        <is>
          <t>Allen Suggs</t>
        </is>
      </c>
      <c r="F56" s="173" t="inlineStr">
        <is>
          <t>3:45 AM</t>
        </is>
      </c>
      <c r="G56" s="174" t="inlineStr">
        <is>
          <t>AM Playbook</t>
        </is>
      </c>
    </row>
    <row r="57" ht="13.5" customHeight="1" s="120">
      <c r="A57" s="173" t="n">
        <v>42</v>
      </c>
      <c r="B57" s="142" t="inlineStr">
        <is>
          <t>Lower North Divesting (#2)</t>
        </is>
      </c>
      <c r="C57" s="143" t="n"/>
      <c r="D57" s="173" t="n"/>
      <c r="E57" s="143" t="inlineStr">
        <is>
          <t>Samiroe Ford</t>
        </is>
      </c>
      <c r="F57" s="173" t="inlineStr">
        <is>
          <t>5:45 AM</t>
        </is>
      </c>
      <c r="G57" s="174" t="inlineStr">
        <is>
          <t>AM Playbook</t>
        </is>
      </c>
    </row>
    <row r="58" ht="13.5" customHeight="1" s="120">
      <c r="A58" s="173" t="n">
        <v>43</v>
      </c>
      <c r="B58" s="142" t="inlineStr">
        <is>
          <t>Lower North Divesting (#3)</t>
        </is>
      </c>
      <c r="C58" s="143" t="n"/>
      <c r="D58" s="173" t="n"/>
      <c r="E58" s="143" t="inlineStr">
        <is>
          <t>Tyana Gutzmore</t>
        </is>
      </c>
      <c r="F58" s="173" t="inlineStr">
        <is>
          <t>5:45 AM</t>
        </is>
      </c>
      <c r="G58" s="174" t="inlineStr">
        <is>
          <t>AM Playbook</t>
        </is>
      </c>
    </row>
    <row r="60" ht="15.75" customHeight="1" s="120">
      <c r="A60" s="170" t="inlineStr">
        <is>
          <t>PM CLIENT VIEW — PM Operations Playbook (12:15 | full ops after 2:00)</t>
        </is>
      </c>
      <c r="B60" s="128" t="n"/>
      <c r="C60" s="128" t="n"/>
      <c r="D60" s="128" t="n"/>
      <c r="E60" s="128" t="n"/>
      <c r="F60" s="128" t="n"/>
      <c r="G60" s="129" t="n"/>
    </row>
    <row r="61" ht="15" customHeight="1" s="120">
      <c r="A61" s="171" t="inlineStr">
        <is>
          <t>#</t>
        </is>
      </c>
      <c r="B61" s="171" t="inlineStr">
        <is>
          <t>POSITION</t>
        </is>
      </c>
      <c r="C61" s="171" t="inlineStr">
        <is>
          <t>Name (12:15)</t>
        </is>
      </c>
      <c r="D61" s="171" t="inlineStr">
        <is>
          <t>Shift</t>
        </is>
      </c>
      <c r="E61" s="171" t="inlineStr">
        <is>
          <t>Name (2:00 full ops)</t>
        </is>
      </c>
      <c r="F61" s="171" t="inlineStr">
        <is>
          <t>Shift</t>
        </is>
      </c>
      <c r="G61" s="171" t="inlineStr">
        <is>
          <t>Source</t>
        </is>
      </c>
    </row>
    <row r="62" ht="12" customHeight="1" s="120">
      <c r="A62" s="172" t="inlineStr">
        <is>
          <t>MAIN SECURITY CHECKPOINT</t>
        </is>
      </c>
      <c r="B62" s="128" t="n"/>
      <c r="C62" s="128" t="n"/>
      <c r="D62" s="128" t="n"/>
      <c r="E62" s="128" t="n"/>
      <c r="F62" s="128" t="n"/>
      <c r="G62" s="129" t="n"/>
    </row>
    <row r="63" ht="13.5" customHeight="1" s="120">
      <c r="A63" s="173" t="n">
        <v>1</v>
      </c>
      <c r="B63" s="142" t="inlineStr">
        <is>
          <t>Front Entrance (#1)</t>
        </is>
      </c>
      <c r="C63" s="143" t="n"/>
      <c r="D63" s="173" t="n"/>
      <c r="E63" s="143" t="inlineStr">
        <is>
          <t>Elizabeth Harlee</t>
        </is>
      </c>
      <c r="F63" s="173" t="inlineStr">
        <is>
          <t>2:00 PM</t>
        </is>
      </c>
      <c r="G63" s="174" t="inlineStr">
        <is>
          <t>PM Playbook</t>
        </is>
      </c>
    </row>
    <row r="64" ht="13.5" customHeight="1" s="120">
      <c r="A64" s="173" t="n">
        <v>2</v>
      </c>
      <c r="B64" s="142" t="inlineStr">
        <is>
          <t>Front Entrance (#2)</t>
        </is>
      </c>
      <c r="C64" s="143" t="inlineStr">
        <is>
          <t>Chiedu Memeh</t>
        </is>
      </c>
      <c r="D64" s="173" t="inlineStr">
        <is>
          <t>12:15 PM</t>
        </is>
      </c>
      <c r="E64" s="143" t="inlineStr">
        <is>
          <t>Chiedu Memeh</t>
        </is>
      </c>
      <c r="F64" s="173" t="inlineStr">
        <is>
          <t>12:15 PM</t>
        </is>
      </c>
      <c r="G64" s="174" t="inlineStr">
        <is>
          <t>PM Playbook</t>
        </is>
      </c>
    </row>
    <row r="65" ht="13.5" customHeight="1" s="120">
      <c r="A65" s="173" t="n">
        <v>3</v>
      </c>
      <c r="B65" s="142" t="inlineStr">
        <is>
          <t>ADA Entrance (1)</t>
        </is>
      </c>
      <c r="C65" s="143" t="n"/>
      <c r="D65" s="173" t="n"/>
      <c r="E65" s="143" t="inlineStr">
        <is>
          <t>Theresa Logan</t>
        </is>
      </c>
      <c r="F65" s="173" t="inlineStr">
        <is>
          <t>2:00 PM</t>
        </is>
      </c>
      <c r="G65" s="174" t="inlineStr">
        <is>
          <t>PM Playbook</t>
        </is>
      </c>
    </row>
    <row r="66" ht="13.5" customHeight="1" s="120">
      <c r="A66" s="173" t="n">
        <v>4</v>
      </c>
      <c r="B66" s="142" t="inlineStr">
        <is>
          <t>Lanes 17-18 (1)</t>
        </is>
      </c>
      <c r="C66" s="143" t="inlineStr">
        <is>
          <t>Veronica Laster</t>
        </is>
      </c>
      <c r="D66" s="173" t="inlineStr">
        <is>
          <t>12:15 PM</t>
        </is>
      </c>
      <c r="E66" s="143" t="inlineStr">
        <is>
          <t>Veronica Laster</t>
        </is>
      </c>
      <c r="F66" s="173" t="inlineStr">
        <is>
          <t>12:15 PM</t>
        </is>
      </c>
      <c r="G66" s="174" t="inlineStr">
        <is>
          <t>PM Playbook</t>
        </is>
      </c>
    </row>
    <row r="67" ht="13.5" customHeight="1" s="120">
      <c r="A67" s="173" t="n">
        <v>5</v>
      </c>
      <c r="B67" s="142" t="inlineStr">
        <is>
          <t>Inside Center (1)</t>
        </is>
      </c>
      <c r="C67" s="143" t="inlineStr">
        <is>
          <t>De'Anna Reese</t>
        </is>
      </c>
      <c r="D67" s="173" t="inlineStr">
        <is>
          <t>12:15 PM</t>
        </is>
      </c>
      <c r="E67" s="143" t="inlineStr">
        <is>
          <t>De'Anna Reese</t>
        </is>
      </c>
      <c r="F67" s="173" t="inlineStr">
        <is>
          <t>12:15 PM</t>
        </is>
      </c>
      <c r="G67" s="174" t="inlineStr">
        <is>
          <t>PM Playbook</t>
        </is>
      </c>
    </row>
    <row r="68" ht="13.5" customHeight="1" s="120">
      <c r="A68" s="173" t="n">
        <v>6</v>
      </c>
      <c r="B68" s="142" t="inlineStr">
        <is>
          <t>Lanes 1-3/Pre-Check (1)</t>
        </is>
      </c>
      <c r="C68" s="143" t="n"/>
      <c r="D68" s="173" t="n"/>
      <c r="E68" s="143" t="inlineStr">
        <is>
          <t>Aaliyah Snider</t>
        </is>
      </c>
      <c r="F68" s="173" t="inlineStr">
        <is>
          <t>2:00 PM</t>
        </is>
      </c>
      <c r="G68" s="174" t="inlineStr">
        <is>
          <t>PM Playbook</t>
        </is>
      </c>
    </row>
    <row r="69" ht="12" customHeight="1" s="120">
      <c r="A69" s="172" t="inlineStr">
        <is>
          <t>ATRIUM</t>
        </is>
      </c>
      <c r="B69" s="128" t="n"/>
      <c r="C69" s="128" t="n"/>
      <c r="D69" s="128" t="n"/>
      <c r="E69" s="128" t="n"/>
      <c r="F69" s="128" t="n"/>
      <c r="G69" s="129" t="n"/>
    </row>
    <row r="70" ht="13.5" customHeight="1" s="120">
      <c r="A70" s="173" t="n">
        <v>7</v>
      </c>
      <c r="B70" s="142" t="inlineStr">
        <is>
          <t>KIA (1)</t>
        </is>
      </c>
      <c r="C70" s="143" t="inlineStr">
        <is>
          <t>David Holloman</t>
        </is>
      </c>
      <c r="D70" s="173" t="inlineStr">
        <is>
          <t>12:15 PM</t>
        </is>
      </c>
      <c r="E70" s="143" t="inlineStr">
        <is>
          <t>David Holloman</t>
        </is>
      </c>
      <c r="F70" s="173" t="inlineStr">
        <is>
          <t>12:15 PM</t>
        </is>
      </c>
      <c r="G70" s="174" t="inlineStr">
        <is>
          <t>PM Playbook</t>
        </is>
      </c>
    </row>
    <row r="71" ht="12" customHeight="1" s="120">
      <c r="A71" s="172" t="inlineStr">
        <is>
          <t>SOUTH SECURITY CHECKPOINT</t>
        </is>
      </c>
      <c r="B71" s="128" t="n"/>
      <c r="C71" s="128" t="n"/>
      <c r="D71" s="128" t="n"/>
      <c r="E71" s="128" t="n"/>
      <c r="F71" s="128" t="n"/>
      <c r="G71" s="129" t="n"/>
    </row>
    <row r="72" ht="13.5" customHeight="1" s="120">
      <c r="A72" s="173" t="n">
        <v>8</v>
      </c>
      <c r="B72" s="142" t="inlineStr">
        <is>
          <t>Checkpoint – Front Entrance (#1)</t>
        </is>
      </c>
      <c r="C72" s="143" t="n"/>
      <c r="D72" s="173" t="n"/>
      <c r="E72" s="143" t="inlineStr">
        <is>
          <t>Khalia Mitchell</t>
        </is>
      </c>
      <c r="F72" s="173" t="inlineStr">
        <is>
          <t>2:00 PM</t>
        </is>
      </c>
      <c r="G72" s="174" t="inlineStr">
        <is>
          <t>PM Playbook</t>
        </is>
      </c>
    </row>
    <row r="73" ht="13.5" customHeight="1" s="120">
      <c r="A73" s="173" t="n">
        <v>9</v>
      </c>
      <c r="B73" s="142" t="inlineStr">
        <is>
          <t>Checkpoint – Front Entrance (#2)</t>
        </is>
      </c>
      <c r="C73" s="143" t="inlineStr">
        <is>
          <t>Amadou Diallo</t>
        </is>
      </c>
      <c r="D73" s="173" t="inlineStr">
        <is>
          <t>12:15 PM</t>
        </is>
      </c>
      <c r="E73" s="143" t="inlineStr">
        <is>
          <t>Amadou Diallo</t>
        </is>
      </c>
      <c r="F73" s="173" t="inlineStr">
        <is>
          <t>12:15 PM</t>
        </is>
      </c>
      <c r="G73" s="174" t="inlineStr">
        <is>
          <t>PM Playbook</t>
        </is>
      </c>
    </row>
    <row r="74" ht="13.5" customHeight="1" s="120">
      <c r="A74" s="173" t="n">
        <v>10</v>
      </c>
      <c r="B74" s="142" t="inlineStr">
        <is>
          <t>Checkpoint – Inside (#1)</t>
        </is>
      </c>
      <c r="C74" s="143" t="n"/>
      <c r="D74" s="173" t="n"/>
      <c r="E74" s="143" t="inlineStr">
        <is>
          <t>Zekiah Robinson</t>
        </is>
      </c>
      <c r="F74" s="173" t="inlineStr">
        <is>
          <t>2:00 PM</t>
        </is>
      </c>
      <c r="G74" s="174" t="inlineStr">
        <is>
          <t>PM Playbook</t>
        </is>
      </c>
    </row>
    <row r="75" ht="13.5" customHeight="1" s="120">
      <c r="A75" s="173" t="n">
        <v>11</v>
      </c>
      <c r="B75" s="142" t="inlineStr">
        <is>
          <t>Checkpoint – Inside (#2)</t>
        </is>
      </c>
      <c r="C75" s="143" t="n"/>
      <c r="D75" s="173" t="n"/>
      <c r="E75" s="143" t="n"/>
      <c r="F75" s="173" t="n"/>
      <c r="G75" s="174" t="inlineStr">
        <is>
          <t>PM Playbook</t>
        </is>
      </c>
    </row>
    <row r="76" ht="13.5" customHeight="1" s="120">
      <c r="A76" s="173" t="n">
        <v>12</v>
      </c>
      <c r="B76" s="142" t="inlineStr">
        <is>
          <t>Hallway Pre-check Overflow (1)</t>
        </is>
      </c>
      <c r="C76" s="143" t="inlineStr">
        <is>
          <t>Agnes Bammannage</t>
        </is>
      </c>
      <c r="D76" s="173" t="inlineStr">
        <is>
          <t>12:15 PM</t>
        </is>
      </c>
      <c r="E76" s="143" t="inlineStr">
        <is>
          <t>Agnes Bammannage</t>
        </is>
      </c>
      <c r="F76" s="173" t="inlineStr">
        <is>
          <t>12:15 PM</t>
        </is>
      </c>
      <c r="G76" s="174" t="inlineStr">
        <is>
          <t>PM Playbook</t>
        </is>
      </c>
    </row>
    <row r="77" ht="13.5" customHeight="1" s="120">
      <c r="A77" s="173" t="n">
        <v>13</v>
      </c>
      <c r="B77" s="142" t="inlineStr">
        <is>
          <t>South Restroom (1)</t>
        </is>
      </c>
      <c r="C77" s="143" t="inlineStr">
        <is>
          <t>Carrie Weaver</t>
        </is>
      </c>
      <c r="D77" s="173" t="inlineStr">
        <is>
          <t>12:15 PM</t>
        </is>
      </c>
      <c r="E77" s="143" t="inlineStr">
        <is>
          <t>Carrie Weaver</t>
        </is>
      </c>
      <c r="F77" s="173" t="inlineStr">
        <is>
          <t>12:15 PM</t>
        </is>
      </c>
      <c r="G77" s="174" t="inlineStr">
        <is>
          <t>PM Playbook</t>
        </is>
      </c>
    </row>
    <row r="78" ht="13.5" customHeight="1" s="120">
      <c r="A78" s="173" t="n">
        <v>14</v>
      </c>
      <c r="B78" s="142" t="inlineStr">
        <is>
          <t>IHOP (1)</t>
        </is>
      </c>
      <c r="C78" s="143" t="inlineStr">
        <is>
          <t>Brittney Quave</t>
        </is>
      </c>
      <c r="D78" s="173" t="inlineStr">
        <is>
          <t>12:15 PM</t>
        </is>
      </c>
      <c r="E78" s="143" t="inlineStr">
        <is>
          <t>Brittney Quave</t>
        </is>
      </c>
      <c r="F78" s="173" t="inlineStr">
        <is>
          <t>12:15 PM</t>
        </is>
      </c>
      <c r="G78" s="174" t="inlineStr">
        <is>
          <t>PM Playbook</t>
        </is>
      </c>
    </row>
    <row r="79" ht="12" customHeight="1" s="120">
      <c r="A79" s="172" t="inlineStr">
        <is>
          <t>NORTH SECURITY CHECKPOINT</t>
        </is>
      </c>
      <c r="B79" s="128" t="n"/>
      <c r="C79" s="128" t="n"/>
      <c r="D79" s="128" t="n"/>
      <c r="E79" s="128" t="n"/>
      <c r="F79" s="128" t="n"/>
      <c r="G79" s="129" t="n"/>
    </row>
    <row r="80" ht="13.5" customHeight="1" s="120">
      <c r="A80" s="173" t="n">
        <v>15</v>
      </c>
      <c r="B80" s="142" t="inlineStr">
        <is>
          <t>Checkpoint – Inside (1)</t>
        </is>
      </c>
      <c r="C80" s="143" t="n"/>
      <c r="D80" s="173" t="n"/>
      <c r="E80" s="143" t="inlineStr">
        <is>
          <t>Youba Coly</t>
        </is>
      </c>
      <c r="F80" s="173" t="inlineStr">
        <is>
          <t>2:00 PM</t>
        </is>
      </c>
      <c r="G80" s="174" t="inlineStr">
        <is>
          <t>PM Playbook</t>
        </is>
      </c>
    </row>
    <row r="81" ht="13.5" customHeight="1" s="120">
      <c r="A81" s="173" t="n">
        <v>16</v>
      </c>
      <c r="B81" s="142" t="inlineStr">
        <is>
          <t>North Corridor (1)</t>
        </is>
      </c>
      <c r="C81" s="143" t="inlineStr">
        <is>
          <t>Zinash Shiferaw</t>
        </is>
      </c>
      <c r="D81" s="173" t="inlineStr">
        <is>
          <t>12:15 PM</t>
        </is>
      </c>
      <c r="E81" s="143" t="inlineStr">
        <is>
          <t>Zinash Shiferaw</t>
        </is>
      </c>
      <c r="F81" s="173" t="inlineStr">
        <is>
          <t>12:15 PM</t>
        </is>
      </c>
      <c r="G81" s="174" t="inlineStr">
        <is>
          <t>PM Playbook</t>
        </is>
      </c>
    </row>
    <row r="82" ht="13.5" customHeight="1" s="120">
      <c r="A82" s="173" t="n">
        <v>17</v>
      </c>
      <c r="B82" s="142" t="inlineStr">
        <is>
          <t>North Restroom Hallway (#1)</t>
        </is>
      </c>
      <c r="C82" s="143" t="inlineStr">
        <is>
          <t>Eyerusalem Esubaluw</t>
        </is>
      </c>
      <c r="D82" s="173" t="inlineStr">
        <is>
          <t>12:15 PM</t>
        </is>
      </c>
      <c r="E82" s="143" t="inlineStr">
        <is>
          <t>Eyerusalem Esubaluw</t>
        </is>
      </c>
      <c r="F82" s="173" t="inlineStr">
        <is>
          <t>12:15 PM</t>
        </is>
      </c>
      <c r="G82" s="174" t="inlineStr">
        <is>
          <t>PM Playbook</t>
        </is>
      </c>
    </row>
    <row r="83" ht="13.5" customHeight="1" s="120">
      <c r="A83" s="173" t="n">
        <v>18</v>
      </c>
      <c r="B83" s="142" t="inlineStr">
        <is>
          <t>North Restroom Hallway (#2)</t>
        </is>
      </c>
      <c r="C83" s="143" t="inlineStr">
        <is>
          <t>John Davis</t>
        </is>
      </c>
      <c r="D83" s="173" t="inlineStr">
        <is>
          <t>12:15 PM</t>
        </is>
      </c>
      <c r="E83" s="143" t="inlineStr">
        <is>
          <t>John Davis</t>
        </is>
      </c>
      <c r="F83" s="173" t="inlineStr">
        <is>
          <t>12:15 PM</t>
        </is>
      </c>
      <c r="G83" s="174" t="inlineStr">
        <is>
          <t>PM Playbook</t>
        </is>
      </c>
    </row>
    <row r="84" ht="13.5" customHeight="1" s="120">
      <c r="A84" s="173" t="n">
        <v>19</v>
      </c>
      <c r="B84" s="142" t="inlineStr">
        <is>
          <t>We Juice It (1)</t>
        </is>
      </c>
      <c r="C84" s="143" t="inlineStr">
        <is>
          <t>Ivory Johnson</t>
        </is>
      </c>
      <c r="D84" s="173" t="inlineStr">
        <is>
          <t>12:15 PM</t>
        </is>
      </c>
      <c r="E84" s="143" t="inlineStr">
        <is>
          <t>Ivory Johnson</t>
        </is>
      </c>
      <c r="F84" s="173" t="inlineStr">
        <is>
          <t>12:15 PM</t>
        </is>
      </c>
      <c r="G84" s="174" t="inlineStr">
        <is>
          <t>PM Playbook</t>
        </is>
      </c>
    </row>
    <row r="85" ht="12" customHeight="1" s="120">
      <c r="A85" s="172" t="inlineStr">
        <is>
          <t>LOWER NORTH SECURITY CHECKPOINT</t>
        </is>
      </c>
      <c r="B85" s="128" t="n"/>
      <c r="C85" s="128" t="n"/>
      <c r="D85" s="128" t="n"/>
      <c r="E85" s="128" t="n"/>
      <c r="F85" s="128" t="n"/>
      <c r="G85" s="129" t="n"/>
    </row>
    <row r="86" ht="13.5" customHeight="1" s="120">
      <c r="A86" s="173" t="n">
        <v>20</v>
      </c>
      <c r="B86" s="142" t="inlineStr">
        <is>
          <t>Checkpoint – Inside (1)</t>
        </is>
      </c>
      <c r="C86" s="143" t="n"/>
      <c r="D86" s="173" t="n"/>
      <c r="E86" s="143" t="inlineStr">
        <is>
          <t>Tangy Winfrey</t>
        </is>
      </c>
      <c r="F86" s="173" t="inlineStr">
        <is>
          <t>2:00 PM</t>
        </is>
      </c>
      <c r="G86" s="174" t="inlineStr">
        <is>
          <t>PM Playbook</t>
        </is>
      </c>
    </row>
    <row r="87" ht="13.5" customHeight="1" s="120">
      <c r="A87" s="173" t="n">
        <v>21</v>
      </c>
      <c r="B87" s="142" t="inlineStr">
        <is>
          <t>N5 Door (1)</t>
        </is>
      </c>
      <c r="C87" s="143" t="n"/>
      <c r="D87" s="173" t="n"/>
      <c r="E87" s="143" t="inlineStr">
        <is>
          <t>Kori Jenkins</t>
        </is>
      </c>
      <c r="F87" s="173" t="inlineStr">
        <is>
          <t>2:00 PM</t>
        </is>
      </c>
      <c r="G87" s="174" t="inlineStr">
        <is>
          <t>PM Playbook</t>
        </is>
      </c>
    </row>
    <row r="88" ht="13.5" customHeight="1" s="120">
      <c r="A88" s="173" t="n">
        <v>22</v>
      </c>
      <c r="B88" s="142" t="inlineStr">
        <is>
          <t>LN2 Elevator (1)</t>
        </is>
      </c>
      <c r="C88" s="143" t="n"/>
      <c r="D88" s="173" t="n"/>
      <c r="E88" s="143" t="inlineStr">
        <is>
          <t>Yitshhaq Sagahon</t>
        </is>
      </c>
      <c r="F88" s="173" t="inlineStr">
        <is>
          <t>2:00 PM</t>
        </is>
      </c>
      <c r="G88" s="174" t="inlineStr">
        <is>
          <t>PM Playbook</t>
        </is>
      </c>
    </row>
    <row r="89" ht="12" customHeight="1" s="120">
      <c r="A89" s="172" t="inlineStr">
        <is>
          <t>AGT LEVEL</t>
        </is>
      </c>
      <c r="B89" s="128" t="n"/>
      <c r="C89" s="128" t="n"/>
      <c r="D89" s="128" t="n"/>
      <c r="E89" s="128" t="n"/>
      <c r="F89" s="128" t="n"/>
      <c r="G89" s="129" t="n"/>
    </row>
    <row r="90" ht="13.5" customHeight="1" s="120">
      <c r="A90" s="173" t="n">
        <v>23</v>
      </c>
      <c r="B90" s="142" t="inlineStr">
        <is>
          <t>T Platform Train Doors (#1)</t>
        </is>
      </c>
      <c r="C90" s="143" t="n"/>
      <c r="D90" s="173" t="n"/>
      <c r="E90" s="143" t="inlineStr">
        <is>
          <t>Youssouf Traore</t>
        </is>
      </c>
      <c r="F90" s="173" t="inlineStr">
        <is>
          <t>2:00 PM</t>
        </is>
      </c>
      <c r="G90" s="174" t="inlineStr">
        <is>
          <t>PM Playbook</t>
        </is>
      </c>
    </row>
    <row r="91" ht="13.5" customHeight="1" s="120">
      <c r="A91" s="173" t="n">
        <v>24</v>
      </c>
      <c r="B91" s="142" t="inlineStr">
        <is>
          <t>T Platform Train Doors (#2)</t>
        </is>
      </c>
      <c r="C91" s="143" t="n"/>
      <c r="D91" s="173" t="n"/>
      <c r="E91" s="143" t="inlineStr">
        <is>
          <t>Richard Soro</t>
        </is>
      </c>
      <c r="F91" s="173" t="inlineStr">
        <is>
          <t>2:00 PM</t>
        </is>
      </c>
      <c r="G91" s="174" t="inlineStr">
        <is>
          <t>PM Playbook</t>
        </is>
      </c>
    </row>
    <row r="92" ht="13.5" customHeight="1" s="120">
      <c r="A92" s="173" t="n">
        <v>25</v>
      </c>
      <c r="B92" s="142" t="inlineStr">
        <is>
          <t>Domestic Baggage Claim (1)</t>
        </is>
      </c>
      <c r="C92" s="143" t="n"/>
      <c r="D92" s="173" t="n"/>
      <c r="E92" s="143" t="inlineStr">
        <is>
          <t>Kaci Cosper</t>
        </is>
      </c>
      <c r="F92" s="173" t="inlineStr">
        <is>
          <t>2:00 PM</t>
        </is>
      </c>
      <c r="G92" s="174" t="inlineStr">
        <is>
          <t>PM Playbook</t>
        </is>
      </c>
    </row>
    <row r="93" ht="13.5" customHeight="1" s="120">
      <c r="A93" s="173" t="n">
        <v>26</v>
      </c>
      <c r="B93" s="142" t="inlineStr">
        <is>
          <t>T Bridge Landing (#1)</t>
        </is>
      </c>
      <c r="C93" s="143" t="n"/>
      <c r="D93" s="173" t="n"/>
      <c r="E93" s="143" t="inlineStr">
        <is>
          <t>Bousso Dioum</t>
        </is>
      </c>
      <c r="F93" s="173" t="inlineStr">
        <is>
          <t>2:00 PM</t>
        </is>
      </c>
      <c r="G93" s="174" t="inlineStr">
        <is>
          <t>PM Playbook</t>
        </is>
      </c>
    </row>
    <row r="94" ht="13.5" customHeight="1" s="120">
      <c r="A94" s="173" t="n">
        <v>27</v>
      </c>
      <c r="B94" s="142" t="inlineStr">
        <is>
          <t>T Bridge Landing (#2)</t>
        </is>
      </c>
      <c r="C94" s="143" t="n"/>
      <c r="D94" s="173" t="n"/>
      <c r="E94" s="143" t="inlineStr">
        <is>
          <t>Princess Vance</t>
        </is>
      </c>
      <c r="F94" s="173" t="inlineStr">
        <is>
          <t>2:00 PM</t>
        </is>
      </c>
      <c r="G94" s="174" t="inlineStr">
        <is>
          <t>PM Playbook</t>
        </is>
      </c>
    </row>
    <row r="95" ht="13.5" customHeight="1" s="120">
      <c r="A95" s="173" t="n">
        <v>28</v>
      </c>
      <c r="B95" s="142" t="inlineStr">
        <is>
          <t>Alpha West (1)</t>
        </is>
      </c>
      <c r="C95" s="143" t="n"/>
      <c r="D95" s="173" t="n"/>
      <c r="E95" s="143" t="inlineStr">
        <is>
          <t>Heather Wray</t>
        </is>
      </c>
      <c r="F95" s="173" t="inlineStr">
        <is>
          <t>2:00 PM</t>
        </is>
      </c>
      <c r="G95" s="174" t="inlineStr">
        <is>
          <t>PM Playbook</t>
        </is>
      </c>
    </row>
    <row r="96" ht="13.5" customHeight="1" s="120">
      <c r="A96" s="173" t="n">
        <v>29</v>
      </c>
      <c r="B96" s="142" t="inlineStr">
        <is>
          <t>Bravo West (1)</t>
        </is>
      </c>
      <c r="C96" s="143" t="n"/>
      <c r="D96" s="173" t="n"/>
      <c r="E96" s="143" t="inlineStr">
        <is>
          <t>Braheem Wooden</t>
        </is>
      </c>
      <c r="F96" s="173" t="inlineStr">
        <is>
          <t>2:00 PM</t>
        </is>
      </c>
      <c r="G96" s="174" t="inlineStr">
        <is>
          <t>PM Playbook</t>
        </is>
      </c>
    </row>
    <row r="97" ht="13.5" customHeight="1" s="120">
      <c r="A97" s="173" t="n">
        <v>30</v>
      </c>
      <c r="B97" s="142" t="inlineStr">
        <is>
          <t>Charlie West (1)</t>
        </is>
      </c>
      <c r="C97" s="143" t="n"/>
      <c r="D97" s="173" t="n"/>
      <c r="E97" s="143" t="inlineStr">
        <is>
          <t>Khursheeda Nasreen</t>
        </is>
      </c>
      <c r="F97" s="173" t="inlineStr">
        <is>
          <t>2:00 PM</t>
        </is>
      </c>
      <c r="G97" s="174" t="inlineStr">
        <is>
          <t>PM Playbook</t>
        </is>
      </c>
    </row>
    <row r="98" ht="13.5" customHeight="1" s="120">
      <c r="A98" s="173" t="n">
        <v>31</v>
      </c>
      <c r="B98" s="142" t="inlineStr">
        <is>
          <t>Delta West (1)</t>
        </is>
      </c>
      <c r="C98" s="143" t="n"/>
      <c r="D98" s="173" t="n"/>
      <c r="E98" s="143" t="inlineStr">
        <is>
          <t>Rozita Davis</t>
        </is>
      </c>
      <c r="F98" s="173" t="inlineStr">
        <is>
          <t>2:00 PM</t>
        </is>
      </c>
      <c r="G98" s="174" t="inlineStr">
        <is>
          <t>PM Playbook</t>
        </is>
      </c>
    </row>
    <row r="99" ht="12" customHeight="1" s="120">
      <c r="A99" s="172" t="inlineStr">
        <is>
          <t>SURVEYS</t>
        </is>
      </c>
      <c r="B99" s="128" t="n"/>
      <c r="C99" s="128" t="n"/>
      <c r="D99" s="128" t="n"/>
      <c r="E99" s="128" t="n"/>
      <c r="F99" s="128" t="n"/>
      <c r="G99" s="129" t="n"/>
    </row>
    <row r="100" ht="13.5" customHeight="1" s="120">
      <c r="A100" s="173" t="n">
        <v>32</v>
      </c>
      <c r="B100" s="142" t="inlineStr">
        <is>
          <t>Surveyor (#1)</t>
        </is>
      </c>
      <c r="C100" s="143" t="inlineStr">
        <is>
          <t>Falana Broughton</t>
        </is>
      </c>
      <c r="D100" s="173" t="inlineStr">
        <is>
          <t>12:15 PM</t>
        </is>
      </c>
      <c r="E100" s="143" t="inlineStr">
        <is>
          <t>Falana Broughton</t>
        </is>
      </c>
      <c r="F100" s="173" t="inlineStr">
        <is>
          <t>12:15 PM</t>
        </is>
      </c>
      <c r="G100" s="174" t="inlineStr">
        <is>
          <t>PM Playbook</t>
        </is>
      </c>
    </row>
    <row r="101" ht="13.5" customHeight="1" s="120">
      <c r="A101" s="173" t="n">
        <v>33</v>
      </c>
      <c r="B101" s="142" t="inlineStr">
        <is>
          <t>Surveyor (#2)</t>
        </is>
      </c>
      <c r="C101" s="143" t="inlineStr">
        <is>
          <t>Kaba Diop</t>
        </is>
      </c>
      <c r="D101" s="173" t="inlineStr">
        <is>
          <t>12:15 PM</t>
        </is>
      </c>
      <c r="E101" s="143" t="inlineStr">
        <is>
          <t>Kaba Diop</t>
        </is>
      </c>
      <c r="F101" s="173" t="inlineStr">
        <is>
          <t>12:15 PM</t>
        </is>
      </c>
      <c r="G101" s="174" t="inlineStr">
        <is>
          <t>PM Playbook</t>
        </is>
      </c>
    </row>
    <row r="102" ht="13.5" customHeight="1" s="120">
      <c r="A102" s="173" t="n">
        <v>34</v>
      </c>
      <c r="B102" s="142" t="inlineStr">
        <is>
          <t>Surveyor (#3)</t>
        </is>
      </c>
      <c r="C102" s="175" t="inlineStr">
        <is>
          <t>UNFILLED</t>
        </is>
      </c>
      <c r="D102" s="173" t="n"/>
      <c r="E102" s="143" t="n"/>
      <c r="F102" s="173" t="n"/>
      <c r="G102" s="174" t="inlineStr">
        <is>
          <t>PM Playbook</t>
        </is>
      </c>
    </row>
    <row r="103" ht="13.5" customHeight="1" s="120">
      <c r="A103" s="173" t="n">
        <v>35</v>
      </c>
      <c r="B103" s="142" t="inlineStr">
        <is>
          <t>Surveyor (#4)</t>
        </is>
      </c>
      <c r="C103" s="175" t="inlineStr">
        <is>
          <t>UNFILLED</t>
        </is>
      </c>
      <c r="D103" s="173" t="n"/>
      <c r="E103" s="143" t="n"/>
      <c r="F103" s="173" t="n"/>
      <c r="G103" s="174" t="inlineStr">
        <is>
          <t>PM Playbook</t>
        </is>
      </c>
    </row>
    <row r="104" ht="12" customHeight="1" s="120">
      <c r="A104" s="172" t="inlineStr">
        <is>
          <t>INFORMATION DESK</t>
        </is>
      </c>
      <c r="B104" s="128" t="n"/>
      <c r="C104" s="128" t="n"/>
      <c r="D104" s="128" t="n"/>
      <c r="E104" s="128" t="n"/>
      <c r="F104" s="128" t="n"/>
      <c r="G104" s="129" t="n"/>
    </row>
    <row r="105" ht="13.5" customHeight="1" s="120">
      <c r="A105" s="173" t="n">
        <v>36</v>
      </c>
      <c r="B105" s="142" t="inlineStr">
        <is>
          <t>Information Desk Personnel</t>
        </is>
      </c>
      <c r="C105" s="175" t="inlineStr">
        <is>
          <t>UNFILLED</t>
        </is>
      </c>
      <c r="D105" s="173" t="n"/>
      <c r="E105" s="143" t="n"/>
      <c r="F105" s="173" t="n"/>
      <c r="G105" s="174" t="inlineStr">
        <is>
          <t>PM Playbook</t>
        </is>
      </c>
    </row>
    <row r="106" ht="12" customHeight="1" s="120">
      <c r="A106" s="172" t="inlineStr">
        <is>
          <t>DIVESTING</t>
        </is>
      </c>
      <c r="B106" s="128" t="n"/>
      <c r="C106" s="128" t="n"/>
      <c r="D106" s="128" t="n"/>
      <c r="E106" s="128" t="n"/>
      <c r="F106" s="128" t="n"/>
      <c r="G106" s="129" t="n"/>
    </row>
    <row r="107" ht="13.5" customHeight="1" s="120">
      <c r="A107" s="173" t="n">
        <v>37</v>
      </c>
      <c r="B107" s="142" t="inlineStr">
        <is>
          <t>North Divesting (#1)</t>
        </is>
      </c>
      <c r="C107" s="143" t="n"/>
      <c r="D107" s="173" t="n"/>
      <c r="E107" s="143" t="inlineStr">
        <is>
          <t>Ashley Lazenby</t>
        </is>
      </c>
      <c r="F107" s="173" t="inlineStr">
        <is>
          <t>2:00 PM</t>
        </is>
      </c>
      <c r="G107" s="174" t="inlineStr">
        <is>
          <t>PM Playbook</t>
        </is>
      </c>
    </row>
    <row r="108" ht="13.5" customHeight="1" s="120">
      <c r="A108" s="173" t="n">
        <v>38</v>
      </c>
      <c r="B108" s="142" t="inlineStr">
        <is>
          <t>North Divesting (#2)</t>
        </is>
      </c>
      <c r="C108" s="143" t="n"/>
      <c r="D108" s="173" t="n"/>
      <c r="E108" s="143" t="inlineStr">
        <is>
          <t>Cheikh Sylla</t>
        </is>
      </c>
      <c r="F108" s="173" t="inlineStr">
        <is>
          <t>2:00 PM</t>
        </is>
      </c>
      <c r="G108" s="174" t="inlineStr">
        <is>
          <t>PM Playbook</t>
        </is>
      </c>
    </row>
    <row r="109" ht="13.5" customHeight="1" s="120">
      <c r="A109" s="173" t="n">
        <v>39</v>
      </c>
      <c r="B109" s="142" t="inlineStr">
        <is>
          <t>North Divesting (#3)</t>
        </is>
      </c>
      <c r="C109" s="143" t="inlineStr">
        <is>
          <t>Darrius Dunlap</t>
        </is>
      </c>
      <c r="D109" s="173" t="inlineStr">
        <is>
          <t>12:15 PM</t>
        </is>
      </c>
      <c r="E109" s="143" t="inlineStr">
        <is>
          <t>Darrius Dunlap</t>
        </is>
      </c>
      <c r="F109" s="173" t="inlineStr">
        <is>
          <t>12:15 PM</t>
        </is>
      </c>
      <c r="G109" s="174" t="inlineStr">
        <is>
          <t>PM Playbook</t>
        </is>
      </c>
    </row>
    <row r="110" ht="13.5" customHeight="1" s="120">
      <c r="A110" s="173" t="n">
        <v>40</v>
      </c>
      <c r="B110" s="142" t="inlineStr">
        <is>
          <t>North Divesting (#4)</t>
        </is>
      </c>
      <c r="C110" s="143" t="n"/>
      <c r="D110" s="173" t="n"/>
      <c r="E110" s="143" t="inlineStr">
        <is>
          <t>Timicha Marshall</t>
        </is>
      </c>
      <c r="F110" s="173" t="inlineStr">
        <is>
          <t>2:00 PM</t>
        </is>
      </c>
      <c r="G110" s="174" t="inlineStr">
        <is>
          <t>PM Playbook</t>
        </is>
      </c>
    </row>
    <row r="111" ht="13.5" customHeight="1" s="120">
      <c r="A111" s="173" t="n">
        <v>41</v>
      </c>
      <c r="B111" s="142" t="inlineStr">
        <is>
          <t>Lower North Divesting (#1)</t>
        </is>
      </c>
      <c r="C111" s="143" t="inlineStr">
        <is>
          <t>Elena Thomas</t>
        </is>
      </c>
      <c r="D111" s="173" t="inlineStr">
        <is>
          <t>12:15 PM</t>
        </is>
      </c>
      <c r="E111" s="143" t="inlineStr">
        <is>
          <t>Elena Thomas</t>
        </is>
      </c>
      <c r="F111" s="173" t="inlineStr">
        <is>
          <t>12:15 PM</t>
        </is>
      </c>
      <c r="G111" s="174" t="inlineStr">
        <is>
          <t>PM Playbook</t>
        </is>
      </c>
    </row>
    <row r="112" ht="13.5" customHeight="1" s="120">
      <c r="A112" s="173" t="n">
        <v>42</v>
      </c>
      <c r="B112" s="142" t="inlineStr">
        <is>
          <t>Lower North Divesting (#2)</t>
        </is>
      </c>
      <c r="C112" s="143" t="n"/>
      <c r="D112" s="173" t="n"/>
      <c r="E112" s="143" t="inlineStr">
        <is>
          <t>Jordan Gilley</t>
        </is>
      </c>
      <c r="F112" s="173" t="inlineStr">
        <is>
          <t>2:00 PM</t>
        </is>
      </c>
      <c r="G112" s="174" t="inlineStr">
        <is>
          <t>PM Playbook</t>
        </is>
      </c>
    </row>
    <row r="113" ht="13.5" customHeight="1" s="120">
      <c r="A113" s="173" t="n">
        <v>43</v>
      </c>
      <c r="B113" s="142" t="inlineStr">
        <is>
          <t>Lower North Divesting (#3)</t>
        </is>
      </c>
      <c r="C113" s="143" t="n"/>
      <c r="D113" s="173" t="n"/>
      <c r="E113" s="143" t="inlineStr">
        <is>
          <t>Akuugo Nduaguba</t>
        </is>
      </c>
      <c r="F113" s="173" t="inlineStr">
        <is>
          <t>2:00 PM</t>
        </is>
      </c>
      <c r="G113" s="174" t="inlineStr">
        <is>
          <t>PM Playbook</t>
        </is>
      </c>
    </row>
    <row r="115" ht="15" customHeight="1" s="120">
      <c r="A115" s="176" t="inlineStr">
        <is>
          <t>RULE: If a name is wrong, fix the Playbook first — then refresh this sheet.</t>
        </is>
      </c>
    </row>
  </sheetData>
  <mergeCells count="24">
    <mergeCell ref="A14:G14"/>
    <mergeCell ref="A106:G106"/>
    <mergeCell ref="A62:G62"/>
    <mergeCell ref="A115:G115"/>
    <mergeCell ref="A44:G44"/>
    <mergeCell ref="B2:C2"/>
    <mergeCell ref="A34:G34"/>
    <mergeCell ref="A24:G24"/>
    <mergeCell ref="A30:G30"/>
    <mergeCell ref="A60:G60"/>
    <mergeCell ref="A49:G49"/>
    <mergeCell ref="A51:G51"/>
    <mergeCell ref="A1:G1"/>
    <mergeCell ref="A79:G79"/>
    <mergeCell ref="A69:G69"/>
    <mergeCell ref="A16:G16"/>
    <mergeCell ref="A7:G7"/>
    <mergeCell ref="A99:G99"/>
    <mergeCell ref="A89:G89"/>
    <mergeCell ref="A3:G3"/>
    <mergeCell ref="A104:G104"/>
    <mergeCell ref="A71:G71"/>
    <mergeCell ref="A85:G85"/>
    <mergeCell ref="A5:G5"/>
  </mergeCells>
  <printOptions horizontalCentered="0" verticalCentered="0" headings="0" gridLines="0" gridLinesSet="1"/>
  <pageMargins left="0.35" right="0.35" top="0.35" bottom="0.3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4" min="1" max="1"/>
    <col width="20" customWidth="1" style="134" min="2" max="2"/>
    <col width="8" customWidth="1" style="134" min="3" max="4"/>
    <col width="22" customWidth="1" style="134" min="5" max="5"/>
    <col width="28" customWidth="1" style="134" min="6" max="6"/>
    <col width="12" customWidth="1" style="134" min="7" max="7"/>
  </cols>
  <sheetData>
    <row r="1" ht="17.25" customHeight="1" s="120">
      <c r="A1" s="177" t="inlineStr">
        <is>
          <t>AM BREAK COVERAGE — DEFERRED TO LEADS</t>
        </is>
      </c>
    </row>
    <row r="2" ht="15" customHeight="1" s="120">
      <c r="A2" s="178" t="inlineStr">
        <is>
          <t>Lunch/break assignment is handled by leads in each work zone. Parked for a later phase.</t>
        </is>
      </c>
    </row>
    <row r="4" ht="15" customHeight="1" s="120">
      <c r="A4" s="179" t="inlineStr">
        <is>
          <t>Position</t>
        </is>
      </c>
      <c r="B4" s="179" t="inlineStr">
        <is>
          <t>Employee</t>
        </is>
      </c>
      <c r="C4" s="179" t="inlineStr">
        <is>
          <t>Side</t>
        </is>
      </c>
      <c r="D4" s="179" t="inlineStr">
        <is>
          <t>Lunch</t>
        </is>
      </c>
      <c r="E4" s="179" t="inlineStr">
        <is>
          <t>Relief By</t>
        </is>
      </c>
      <c r="F4" s="179" t="inlineStr">
        <is>
          <t>Relief From</t>
        </is>
      </c>
      <c r="G4" s="179" t="inlineStr">
        <is>
          <t>Status</t>
        </is>
      </c>
    </row>
    <row r="5" ht="15" customHeight="1" s="120">
      <c r="A5" s="175" t="inlineStr">
        <is>
          <t>Domestic Baggage Claim (1)</t>
        </is>
      </c>
      <c r="B5" s="175" t="inlineStr">
        <is>
          <t>Mamadou Seck</t>
        </is>
      </c>
      <c r="C5" s="180" t="inlineStr">
        <is>
          <t>5:45</t>
        </is>
      </c>
      <c r="D5" s="180" t="inlineStr">
        <is>
          <t>10:00</t>
        </is>
      </c>
      <c r="E5" s="175" t="inlineStr">
        <is>
          <t>NO RELIEF</t>
        </is>
      </c>
      <c r="F5" s="175" t="n"/>
      <c r="G5" s="181" t="inlineStr">
        <is>
          <t>NO RELIEF</t>
        </is>
      </c>
    </row>
    <row r="6" ht="15" customHeight="1" s="120">
      <c r="A6" s="175" t="inlineStr">
        <is>
          <t>Checkpoint – Inside (1)</t>
        </is>
      </c>
      <c r="B6" s="175" t="inlineStr">
        <is>
          <t>Jessika Williams</t>
        </is>
      </c>
      <c r="C6" s="180" t="inlineStr">
        <is>
          <t>3:45</t>
        </is>
      </c>
      <c r="D6" s="180" t="inlineStr">
        <is>
          <t>8:00</t>
        </is>
      </c>
      <c r="E6" s="175" t="inlineStr">
        <is>
          <t>NO RELIEF</t>
        </is>
      </c>
      <c r="F6" s="175" t="n"/>
      <c r="G6" s="181" t="inlineStr">
        <is>
          <t>NO RELIEF</t>
        </is>
      </c>
    </row>
    <row r="7" ht="15" customHeight="1" s="120">
      <c r="A7" s="175" t="inlineStr">
        <is>
          <t>We Juice It (1)</t>
        </is>
      </c>
      <c r="B7" s="175" t="inlineStr">
        <is>
          <t>Larry Fuller</t>
        </is>
      </c>
      <c r="C7" s="180" t="inlineStr">
        <is>
          <t>3:45</t>
        </is>
      </c>
      <c r="D7" s="180" t="inlineStr">
        <is>
          <t>8:00</t>
        </is>
      </c>
      <c r="E7" s="175" t="inlineStr">
        <is>
          <t>NO RELIEF</t>
        </is>
      </c>
      <c r="F7" s="175" t="n"/>
      <c r="G7" s="181" t="inlineStr">
        <is>
          <t>NO RELIEF</t>
        </is>
      </c>
    </row>
    <row r="8" ht="15" customHeight="1" s="120">
      <c r="A8" s="175" t="inlineStr">
        <is>
          <t>Checkpoint – Inside (1)</t>
        </is>
      </c>
      <c r="B8" s="175" t="inlineStr">
        <is>
          <t>Adeyeye Opaaje</t>
        </is>
      </c>
      <c r="C8" s="180" t="inlineStr">
        <is>
          <t>5:45</t>
        </is>
      </c>
      <c r="D8" s="180" t="inlineStr">
        <is>
          <t>9:00</t>
        </is>
      </c>
      <c r="E8" s="175" t="inlineStr">
        <is>
          <t>NO RELIEF</t>
        </is>
      </c>
      <c r="F8" s="175" t="n"/>
      <c r="G8" s="181" t="inlineStr">
        <is>
          <t>NO RELIEF</t>
        </is>
      </c>
    </row>
    <row r="9" ht="15" customHeight="1" s="120">
      <c r="A9" s="175" t="inlineStr">
        <is>
          <t>Lanes 17-18 (1)</t>
        </is>
      </c>
      <c r="B9" s="175" t="inlineStr">
        <is>
          <t>Tiffany Felton</t>
        </is>
      </c>
      <c r="C9" s="180" t="inlineStr">
        <is>
          <t>3:45</t>
        </is>
      </c>
      <c r="D9" s="180" t="inlineStr">
        <is>
          <t>9:00</t>
        </is>
      </c>
      <c r="E9" s="175" t="inlineStr">
        <is>
          <t>NO RELIEF</t>
        </is>
      </c>
      <c r="F9" s="175" t="n"/>
      <c r="G9" s="181" t="inlineStr">
        <is>
          <t>NO RELIEF</t>
        </is>
      </c>
    </row>
    <row r="10" ht="15" customHeight="1" s="120">
      <c r="A10" s="175" t="inlineStr">
        <is>
          <t>North Divesting (#1)</t>
        </is>
      </c>
      <c r="B10" s="175" t="inlineStr">
        <is>
          <t>Natasha Carbon</t>
        </is>
      </c>
      <c r="C10" s="180" t="inlineStr">
        <is>
          <t>3:45</t>
        </is>
      </c>
      <c r="D10" s="180" t="inlineStr">
        <is>
          <t>9:00</t>
        </is>
      </c>
      <c r="E10" s="175" t="inlineStr">
        <is>
          <t>NO RELIEF</t>
        </is>
      </c>
      <c r="F10" s="175" t="n"/>
      <c r="G10" s="181" t="inlineStr">
        <is>
          <t>NO RELIEF</t>
        </is>
      </c>
    </row>
    <row r="11" ht="15" customHeight="1" s="120">
      <c r="A11" s="175" t="inlineStr">
        <is>
          <t>North Divesting (#2)</t>
        </is>
      </c>
      <c r="B11" s="175" t="inlineStr">
        <is>
          <t>George Whitehead</t>
        </is>
      </c>
      <c r="C11" s="180" t="inlineStr">
        <is>
          <t>5:45</t>
        </is>
      </c>
      <c r="D11" s="180" t="inlineStr">
        <is>
          <t>9:00</t>
        </is>
      </c>
      <c r="E11" s="175" t="inlineStr">
        <is>
          <t>NO RELIEF</t>
        </is>
      </c>
      <c r="F11" s="175" t="n"/>
      <c r="G11" s="181" t="inlineStr">
        <is>
          <t>NO RELIEF</t>
        </is>
      </c>
    </row>
    <row r="12" ht="15" customHeight="1" s="120">
      <c r="A12" s="175" t="inlineStr">
        <is>
          <t>North Divesting (#3)</t>
        </is>
      </c>
      <c r="B12" s="175" t="inlineStr">
        <is>
          <t>Moneshia Echols</t>
        </is>
      </c>
      <c r="C12" s="180" t="inlineStr">
        <is>
          <t>3:45</t>
        </is>
      </c>
      <c r="D12" s="180" t="inlineStr">
        <is>
          <t>9:00</t>
        </is>
      </c>
      <c r="E12" s="175" t="inlineStr">
        <is>
          <t>NO RELIEF</t>
        </is>
      </c>
      <c r="F12" s="175" t="n"/>
      <c r="G12" s="181" t="inlineStr">
        <is>
          <t>NO RELIEF</t>
        </is>
      </c>
    </row>
    <row r="13" ht="15" customHeight="1" s="120">
      <c r="A13" s="175" t="inlineStr">
        <is>
          <t>North Restroom Hallway (#1)</t>
        </is>
      </c>
      <c r="B13" s="175" t="inlineStr">
        <is>
          <t>Tanya Organ</t>
        </is>
      </c>
      <c r="C13" s="180" t="inlineStr">
        <is>
          <t>3:45</t>
        </is>
      </c>
      <c r="D13" s="180" t="inlineStr">
        <is>
          <t>9:00</t>
        </is>
      </c>
      <c r="E13" s="175" t="inlineStr">
        <is>
          <t>NO RELIEF</t>
        </is>
      </c>
      <c r="F13" s="175" t="n"/>
      <c r="G13" s="181" t="inlineStr">
        <is>
          <t>NO RELIEF</t>
        </is>
      </c>
    </row>
    <row r="14" ht="15" customHeight="1" s="120">
      <c r="A14" s="182" t="inlineStr">
        <is>
          <t>ADA Entrance (1)</t>
        </is>
      </c>
      <c r="B14" s="182" t="inlineStr">
        <is>
          <t>Shanta Islam</t>
        </is>
      </c>
      <c r="C14" s="183" t="inlineStr">
        <is>
          <t>5:45</t>
        </is>
      </c>
      <c r="D14" s="183" t="inlineStr">
        <is>
          <t>10:00</t>
        </is>
      </c>
      <c r="E14" s="182" t="inlineStr">
        <is>
          <t>Khadijah Van Holten</t>
        </is>
      </c>
      <c r="F14" s="182" t="inlineStr">
        <is>
          <t>Front Entrance (#1)</t>
        </is>
      </c>
      <c r="G14" s="184" t="inlineStr">
        <is>
          <t>OK</t>
        </is>
      </c>
    </row>
    <row r="15" ht="15" customHeight="1" s="120">
      <c r="A15" s="182" t="inlineStr">
        <is>
          <t>Checkpoint – Front Entrance (#1)</t>
        </is>
      </c>
      <c r="B15" s="182" t="inlineStr">
        <is>
          <t>Lynn Yi-Smith</t>
        </is>
      </c>
      <c r="C15" s="183" t="inlineStr">
        <is>
          <t>5:45</t>
        </is>
      </c>
      <c r="D15" s="183" t="inlineStr">
        <is>
          <t>10:00</t>
        </is>
      </c>
      <c r="E15" s="182" t="inlineStr">
        <is>
          <t>Maryse Camille</t>
        </is>
      </c>
      <c r="F15" s="182" t="inlineStr">
        <is>
          <t>Checkpoint - Front Entrance (#2)</t>
        </is>
      </c>
      <c r="G15" s="184" t="inlineStr">
        <is>
          <t>OK</t>
        </is>
      </c>
    </row>
    <row r="16" ht="15" customHeight="1" s="120">
      <c r="A16" s="182" t="inlineStr">
        <is>
          <t>Checkpoint – Inside (#1)</t>
        </is>
      </c>
      <c r="B16" s="182" t="inlineStr">
        <is>
          <t>Sarita Jewell</t>
        </is>
      </c>
      <c r="C16" s="183" t="inlineStr">
        <is>
          <t>5:45</t>
        </is>
      </c>
      <c r="D16" s="183" t="inlineStr">
        <is>
          <t>10:00</t>
        </is>
      </c>
      <c r="E16" s="182" t="inlineStr">
        <is>
          <t>Jamal Reynolds</t>
        </is>
      </c>
      <c r="F16" s="182" t="inlineStr">
        <is>
          <t>Checkpoint - Inside (#2)</t>
        </is>
      </c>
      <c r="G16" s="184" t="inlineStr">
        <is>
          <t>OK</t>
        </is>
      </c>
    </row>
    <row r="17" ht="15" customHeight="1" s="120">
      <c r="A17" s="182" t="inlineStr">
        <is>
          <t>LN2 Elevator (1)</t>
        </is>
      </c>
      <c r="B17" s="182" t="inlineStr">
        <is>
          <t>Vanessa Cortes</t>
        </is>
      </c>
      <c r="C17" s="183" t="inlineStr">
        <is>
          <t>5:45</t>
        </is>
      </c>
      <c r="D17" s="183" t="inlineStr">
        <is>
          <t>10:00</t>
        </is>
      </c>
      <c r="E17" s="182" t="inlineStr">
        <is>
          <t>Larry Fuller</t>
        </is>
      </c>
      <c r="F17" s="182" t="inlineStr">
        <is>
          <t>We Juice It (1)</t>
        </is>
      </c>
      <c r="G17" s="184" t="inlineStr">
        <is>
          <t>OK</t>
        </is>
      </c>
    </row>
    <row r="18" ht="15" customHeight="1" s="120">
      <c r="A18" s="182" t="inlineStr">
        <is>
          <t>Lower North Divesting (#2)</t>
        </is>
      </c>
      <c r="B18" s="182" t="inlineStr">
        <is>
          <t>Samiroe Ford</t>
        </is>
      </c>
      <c r="C18" s="183" t="inlineStr">
        <is>
          <t>5:45</t>
        </is>
      </c>
      <c r="D18" s="183" t="inlineStr">
        <is>
          <t>10:00</t>
        </is>
      </c>
      <c r="E18" s="182" t="inlineStr">
        <is>
          <t>Anariah Daniel</t>
        </is>
      </c>
      <c r="F18" s="182" t="inlineStr">
        <is>
          <t>Rover</t>
        </is>
      </c>
      <c r="G18" s="184" t="inlineStr">
        <is>
          <t>OK</t>
        </is>
      </c>
    </row>
    <row r="19" ht="15" customHeight="1" s="120">
      <c r="A19" s="182" t="inlineStr">
        <is>
          <t>Lower North Divesting (#3)</t>
        </is>
      </c>
      <c r="B19" s="182" t="inlineStr">
        <is>
          <t>Tyana Gutzmore</t>
        </is>
      </c>
      <c r="C19" s="183" t="inlineStr">
        <is>
          <t>5:45</t>
        </is>
      </c>
      <c r="D19" s="183" t="inlineStr">
        <is>
          <t>10:00</t>
        </is>
      </c>
      <c r="E19" s="182" t="inlineStr">
        <is>
          <t>Brian Lee</t>
        </is>
      </c>
      <c r="F19" s="182" t="inlineStr">
        <is>
          <t>Rover</t>
        </is>
      </c>
      <c r="G19" s="184" t="inlineStr">
        <is>
          <t>OK</t>
        </is>
      </c>
    </row>
    <row r="20" ht="15" customHeight="1" s="120">
      <c r="A20" s="182" t="inlineStr">
        <is>
          <t>North Divesting (#4)</t>
        </is>
      </c>
      <c r="B20" s="182" t="inlineStr">
        <is>
          <t>Micheal Manning</t>
        </is>
      </c>
      <c r="C20" s="183" t="inlineStr">
        <is>
          <t>5:45</t>
        </is>
      </c>
      <c r="D20" s="183" t="inlineStr">
        <is>
          <t>10:00</t>
        </is>
      </c>
      <c r="E20" s="182" t="inlineStr">
        <is>
          <t>Ahamed John</t>
        </is>
      </c>
      <c r="F20" s="182" t="inlineStr">
        <is>
          <t>North Restroom Hallway (#2)</t>
        </is>
      </c>
      <c r="G20" s="184" t="inlineStr">
        <is>
          <t>OK</t>
        </is>
      </c>
    </row>
    <row r="21" ht="15" customHeight="1" s="120">
      <c r="A21" s="182" t="inlineStr">
        <is>
          <t>T Bridge Landing (#2)</t>
        </is>
      </c>
      <c r="B21" s="182" t="inlineStr">
        <is>
          <t>Monica Ortiz</t>
        </is>
      </c>
      <c r="C21" s="183" t="inlineStr">
        <is>
          <t>5:45</t>
        </is>
      </c>
      <c r="D21" s="183" t="inlineStr">
        <is>
          <t>10:00</t>
        </is>
      </c>
      <c r="E21" s="182" t="inlineStr">
        <is>
          <t>Aleah Mckinnon</t>
        </is>
      </c>
      <c r="F21" s="182" t="inlineStr">
        <is>
          <t>T Bridge Landing (#1)</t>
        </is>
      </c>
      <c r="G21" s="184" t="inlineStr">
        <is>
          <t>OK</t>
        </is>
      </c>
    </row>
    <row r="22" ht="15" customHeight="1" s="120">
      <c r="A22" s="182" t="inlineStr">
        <is>
          <t>T Platform Train Doors (#1)</t>
        </is>
      </c>
      <c r="B22" s="182" t="inlineStr">
        <is>
          <t>Mildred Torres</t>
        </is>
      </c>
      <c r="C22" s="183" t="inlineStr">
        <is>
          <t>5:45</t>
        </is>
      </c>
      <c r="D22" s="183" t="inlineStr">
        <is>
          <t>10:00</t>
        </is>
      </c>
      <c r="E22" s="182" t="inlineStr">
        <is>
          <t>Dequavius Parker</t>
        </is>
      </c>
      <c r="F22" s="182" t="inlineStr">
        <is>
          <t>Rover</t>
        </is>
      </c>
      <c r="G22" s="184" t="inlineStr">
        <is>
          <t>OK</t>
        </is>
      </c>
    </row>
    <row r="23" ht="15" customHeight="1" s="120">
      <c r="A23" s="182" t="inlineStr">
        <is>
          <t>T Platform Train Doors (#2)</t>
        </is>
      </c>
      <c r="B23" s="182" t="inlineStr">
        <is>
          <t>Monique Hicks</t>
        </is>
      </c>
      <c r="C23" s="183" t="inlineStr">
        <is>
          <t>5:45</t>
        </is>
      </c>
      <c r="D23" s="183" t="inlineStr">
        <is>
          <t>10:00</t>
        </is>
      </c>
      <c r="E23" s="182" t="inlineStr">
        <is>
          <t>Lashawn Jones</t>
        </is>
      </c>
      <c r="F23" s="182" t="inlineStr">
        <is>
          <t>Rover</t>
        </is>
      </c>
      <c r="G23" s="184" t="inlineStr">
        <is>
          <t>OK</t>
        </is>
      </c>
    </row>
    <row r="24" ht="15" customHeight="1" s="120">
      <c r="A24" s="182" t="inlineStr">
        <is>
          <t>ADA Entrance (1)</t>
        </is>
      </c>
      <c r="B24" s="182" t="inlineStr">
        <is>
          <t>Larry Fuller</t>
        </is>
      </c>
      <c r="C24" s="183" t="inlineStr">
        <is>
          <t>3:45</t>
        </is>
      </c>
      <c r="D24" s="183" t="inlineStr">
        <is>
          <t>8:00</t>
        </is>
      </c>
      <c r="E24" s="182" t="inlineStr">
        <is>
          <t>Kidest Solomon</t>
        </is>
      </c>
      <c r="F24" s="182" t="inlineStr">
        <is>
          <t>Front Entrance (#1)</t>
        </is>
      </c>
      <c r="G24" s="184" t="inlineStr">
        <is>
          <t>OK</t>
        </is>
      </c>
    </row>
    <row r="25" ht="15" customHeight="1" s="120">
      <c r="A25" s="182" t="inlineStr">
        <is>
          <t>Checkpoint – Front Entrance (#2)</t>
        </is>
      </c>
      <c r="B25" s="182" t="inlineStr">
        <is>
          <t>Brianna Bryant</t>
        </is>
      </c>
      <c r="C25" s="183" t="inlineStr">
        <is>
          <t>3:45</t>
        </is>
      </c>
      <c r="D25" s="183" t="inlineStr">
        <is>
          <t>8:00</t>
        </is>
      </c>
      <c r="E25" s="182" t="inlineStr">
        <is>
          <t>Anariah Daniel</t>
        </is>
      </c>
      <c r="F25" s="182" t="inlineStr">
        <is>
          <t>Rover</t>
        </is>
      </c>
      <c r="G25" s="184" t="inlineStr">
        <is>
          <t>OK</t>
        </is>
      </c>
    </row>
    <row r="26" ht="15" customHeight="1" s="120">
      <c r="A26" s="182" t="inlineStr">
        <is>
          <t>Front Entrance (#1)</t>
        </is>
      </c>
      <c r="B26" s="182" t="inlineStr">
        <is>
          <t>Khadijah Van Holten</t>
        </is>
      </c>
      <c r="C26" s="183" t="inlineStr">
        <is>
          <t>3:45</t>
        </is>
      </c>
      <c r="D26" s="183" t="inlineStr">
        <is>
          <t>8:00</t>
        </is>
      </c>
      <c r="E26" s="182" t="inlineStr">
        <is>
          <t>Maryse Camille</t>
        </is>
      </c>
      <c r="F26" s="182" t="inlineStr">
        <is>
          <t>Front Entrance (#2)</t>
        </is>
      </c>
      <c r="G26" s="184" t="inlineStr">
        <is>
          <t>OK</t>
        </is>
      </c>
    </row>
    <row r="27" ht="15" customHeight="1" s="120">
      <c r="A27" s="182" t="inlineStr">
        <is>
          <t>Hallway Pre-check Overflow (1)</t>
        </is>
      </c>
      <c r="B27" s="182" t="inlineStr">
        <is>
          <t>Kimberly Morrison</t>
        </is>
      </c>
      <c r="C27" s="183" t="inlineStr">
        <is>
          <t>3:45</t>
        </is>
      </c>
      <c r="D27" s="183" t="inlineStr">
        <is>
          <t>8:00</t>
        </is>
      </c>
      <c r="E27" s="182" t="inlineStr">
        <is>
          <t>Brian Lee</t>
        </is>
      </c>
      <c r="F27" s="182" t="inlineStr">
        <is>
          <t>Rover</t>
        </is>
      </c>
      <c r="G27" s="184" t="inlineStr">
        <is>
          <t>OK</t>
        </is>
      </c>
    </row>
    <row r="28" ht="15" customHeight="1" s="120">
      <c r="A28" s="182" t="inlineStr">
        <is>
          <t>IHOP (1)</t>
        </is>
      </c>
      <c r="B28" s="182" t="inlineStr">
        <is>
          <t>Khadijah Van Holten</t>
        </is>
      </c>
      <c r="C28" s="183" t="inlineStr">
        <is>
          <t>3:45</t>
        </is>
      </c>
      <c r="D28" s="183" t="inlineStr">
        <is>
          <t>8:00</t>
        </is>
      </c>
      <c r="E28" s="182" t="inlineStr">
        <is>
          <t>Natasha Carbon</t>
        </is>
      </c>
      <c r="F28" s="182" t="inlineStr">
        <is>
          <t>KIA (1)</t>
        </is>
      </c>
      <c r="G28" s="184" t="inlineStr">
        <is>
          <t>OK</t>
        </is>
      </c>
    </row>
    <row r="29" ht="15" customHeight="1" s="120">
      <c r="A29" s="182" t="inlineStr">
        <is>
          <t>Inside Center (1)</t>
        </is>
      </c>
      <c r="B29" s="182" t="inlineStr">
        <is>
          <t>Demetrius Thomas</t>
        </is>
      </c>
      <c r="C29" s="183" t="inlineStr">
        <is>
          <t>3:45</t>
        </is>
      </c>
      <c r="D29" s="183" t="inlineStr">
        <is>
          <t>8:00</t>
        </is>
      </c>
      <c r="E29" s="182" t="inlineStr">
        <is>
          <t>Dequavius Parker</t>
        </is>
      </c>
      <c r="F29" s="182" t="inlineStr">
        <is>
          <t>Rover</t>
        </is>
      </c>
      <c r="G29" s="184" t="inlineStr">
        <is>
          <t>OK</t>
        </is>
      </c>
    </row>
    <row r="30" ht="15" customHeight="1" s="120">
      <c r="A30" s="182" t="inlineStr">
        <is>
          <t>Lower North Divesting (#1)</t>
        </is>
      </c>
      <c r="B30" s="182" t="inlineStr">
        <is>
          <t>Allen Suggs</t>
        </is>
      </c>
      <c r="C30" s="183" t="inlineStr">
        <is>
          <t>3:45</t>
        </is>
      </c>
      <c r="D30" s="183" t="inlineStr">
        <is>
          <t>8:00</t>
        </is>
      </c>
      <c r="E30" s="182" t="inlineStr">
        <is>
          <t>Sara Alemu</t>
        </is>
      </c>
      <c r="F30" s="182" t="inlineStr">
        <is>
          <t>Rover</t>
        </is>
      </c>
      <c r="G30" s="184" t="inlineStr">
        <is>
          <t>OK</t>
        </is>
      </c>
    </row>
    <row r="31" ht="15" customHeight="1" s="120">
      <c r="A31" s="182" t="inlineStr">
        <is>
          <t>North Corridor (1)</t>
        </is>
      </c>
      <c r="B31" s="182" t="inlineStr">
        <is>
          <t>Benjamin Crosby</t>
        </is>
      </c>
      <c r="C31" s="183" t="inlineStr">
        <is>
          <t>3:45</t>
        </is>
      </c>
      <c r="D31" s="183" t="inlineStr">
        <is>
          <t>8:00</t>
        </is>
      </c>
      <c r="E31" s="182" t="inlineStr">
        <is>
          <t>Shawanda Webb</t>
        </is>
      </c>
      <c r="F31" s="182" t="inlineStr">
        <is>
          <t>Rover</t>
        </is>
      </c>
      <c r="G31" s="184" t="inlineStr">
        <is>
          <t>OK</t>
        </is>
      </c>
    </row>
    <row r="32" ht="15" customHeight="1" s="120">
      <c r="A32" s="182" t="inlineStr">
        <is>
          <t>North Divesting (#2)</t>
        </is>
      </c>
      <c r="B32" s="182" t="inlineStr">
        <is>
          <t>Ahamed John</t>
        </is>
      </c>
      <c r="C32" s="183" t="inlineStr">
        <is>
          <t>3:45</t>
        </is>
      </c>
      <c r="D32" s="183" t="inlineStr">
        <is>
          <t>8:00</t>
        </is>
      </c>
      <c r="E32" s="182" t="inlineStr">
        <is>
          <t>Tanya Organ</t>
        </is>
      </c>
      <c r="F32" s="182" t="inlineStr">
        <is>
          <t>North Restroom Hallway (#1)</t>
        </is>
      </c>
      <c r="G32" s="184" t="inlineStr">
        <is>
          <t>OK</t>
        </is>
      </c>
    </row>
    <row r="33" ht="15" customHeight="1" s="120">
      <c r="A33" s="182" t="inlineStr">
        <is>
          <t>North Restroom Hallway (#2)</t>
        </is>
      </c>
      <c r="B33" s="182" t="inlineStr">
        <is>
          <t>Ahamed John</t>
        </is>
      </c>
      <c r="C33" s="183" t="inlineStr">
        <is>
          <t>3:45</t>
        </is>
      </c>
      <c r="D33" s="183" t="inlineStr">
        <is>
          <t>8:00</t>
        </is>
      </c>
      <c r="E33" s="182" t="inlineStr">
        <is>
          <t>Veronda Jones</t>
        </is>
      </c>
      <c r="F33" s="182" t="inlineStr">
        <is>
          <t>Rover</t>
        </is>
      </c>
      <c r="G33" s="184" t="inlineStr">
        <is>
          <t>OK</t>
        </is>
      </c>
    </row>
    <row r="34" ht="15" customHeight="1" s="120">
      <c r="A34" s="182" t="inlineStr">
        <is>
          <t>South Restroom (1)</t>
        </is>
      </c>
      <c r="B34" s="182" t="inlineStr">
        <is>
          <t>Jessika Williams</t>
        </is>
      </c>
      <c r="C34" s="183" t="inlineStr">
        <is>
          <t>3:45</t>
        </is>
      </c>
      <c r="D34" s="183" t="inlineStr">
        <is>
          <t>8:00</t>
        </is>
      </c>
      <c r="E34" s="182" t="inlineStr">
        <is>
          <t>Lashawn Jones</t>
        </is>
      </c>
      <c r="F34" s="182" t="inlineStr">
        <is>
          <t>Rover</t>
        </is>
      </c>
      <c r="G34" s="184" t="inlineStr">
        <is>
          <t>OK</t>
        </is>
      </c>
    </row>
    <row r="35" ht="15" customHeight="1" s="120">
      <c r="A35" s="182" t="inlineStr">
        <is>
          <t>Checkpoint – Inside (#1)</t>
        </is>
      </c>
      <c r="B35" s="182" t="inlineStr">
        <is>
          <t>Maryse Camille</t>
        </is>
      </c>
      <c r="C35" s="183" t="inlineStr">
        <is>
          <t>3:45</t>
        </is>
      </c>
      <c r="D35" s="183" t="inlineStr">
        <is>
          <t>9:00</t>
        </is>
      </c>
      <c r="E35" s="182" t="inlineStr">
        <is>
          <t>Sara Alemu</t>
        </is>
      </c>
      <c r="F35" s="182" t="inlineStr">
        <is>
          <t>Rover</t>
        </is>
      </c>
      <c r="G35" s="184" t="inlineStr">
        <is>
          <t>OK</t>
        </is>
      </c>
    </row>
    <row r="36" ht="15" customHeight="1" s="120">
      <c r="A36" s="182" t="inlineStr">
        <is>
          <t>Checkpoint – Inside (#2)</t>
        </is>
      </c>
      <c r="B36" s="182" t="inlineStr">
        <is>
          <t>Jamal Reynolds</t>
        </is>
      </c>
      <c r="C36" s="183" t="inlineStr">
        <is>
          <t>5:45</t>
        </is>
      </c>
      <c r="D36" s="183" t="inlineStr">
        <is>
          <t>9:00</t>
        </is>
      </c>
      <c r="E36" s="182" t="inlineStr">
        <is>
          <t>Sarita Jewell</t>
        </is>
      </c>
      <c r="F36" s="182" t="inlineStr">
        <is>
          <t>Checkpoint - Inside (#1)</t>
        </is>
      </c>
      <c r="G36" s="184" t="inlineStr">
        <is>
          <t>OK</t>
        </is>
      </c>
    </row>
    <row r="37" ht="15" customHeight="1" s="120">
      <c r="A37" s="182" t="inlineStr">
        <is>
          <t>Front Entrance (#1)</t>
        </is>
      </c>
      <c r="B37" s="182" t="inlineStr">
        <is>
          <t>Kidest Solomon</t>
        </is>
      </c>
      <c r="C37" s="183" t="inlineStr">
        <is>
          <t>5:45</t>
        </is>
      </c>
      <c r="D37" s="183" t="inlineStr">
        <is>
          <t>9:00</t>
        </is>
      </c>
      <c r="E37" s="182" t="inlineStr">
        <is>
          <t>Shawanda Webb</t>
        </is>
      </c>
      <c r="F37" s="182" t="inlineStr">
        <is>
          <t>Rover</t>
        </is>
      </c>
      <c r="G37" s="184" t="inlineStr">
        <is>
          <t>OK</t>
        </is>
      </c>
    </row>
    <row r="38" ht="15" customHeight="1" s="120">
      <c r="A38" s="182" t="inlineStr">
        <is>
          <t>Front Entrance (#2)</t>
        </is>
      </c>
      <c r="B38" s="182" t="inlineStr">
        <is>
          <t>Maryse Camille</t>
        </is>
      </c>
      <c r="C38" s="183" t="inlineStr">
        <is>
          <t>3:45</t>
        </is>
      </c>
      <c r="D38" s="183" t="inlineStr">
        <is>
          <t>9:00</t>
        </is>
      </c>
      <c r="E38" s="182" t="inlineStr">
        <is>
          <t>Khadijah Van Holten</t>
        </is>
      </c>
      <c r="F38" s="182" t="inlineStr">
        <is>
          <t>Front Entrance (#1)</t>
        </is>
      </c>
      <c r="G38" s="184" t="inlineStr">
        <is>
          <t>OK</t>
        </is>
      </c>
    </row>
    <row r="39" ht="15" customHeight="1" s="120">
      <c r="A39" s="182" t="inlineStr">
        <is>
          <t>Lanes 1-3/Pre-Check (1)</t>
        </is>
      </c>
      <c r="B39" s="182" t="inlineStr">
        <is>
          <t>Jada Batiste</t>
        </is>
      </c>
      <c r="C39" s="183" t="inlineStr">
        <is>
          <t>5:45</t>
        </is>
      </c>
      <c r="D39" s="183" t="inlineStr">
        <is>
          <t>9:00</t>
        </is>
      </c>
      <c r="E39" s="182" t="inlineStr">
        <is>
          <t>Veronda Jones</t>
        </is>
      </c>
      <c r="F39" s="182" t="inlineStr">
        <is>
          <t>Rover</t>
        </is>
      </c>
      <c r="G39" s="184" t="inlineStr">
        <is>
          <t>OK</t>
        </is>
      </c>
    </row>
    <row r="40" ht="15" customHeight="1" s="120">
      <c r="A40" s="182" t="inlineStr">
        <is>
          <t>North Divesting (#1)</t>
        </is>
      </c>
      <c r="B40" s="182" t="inlineStr">
        <is>
          <t>Fikre Hadera</t>
        </is>
      </c>
      <c r="C40" s="183" t="inlineStr">
        <is>
          <t>5:45</t>
        </is>
      </c>
      <c r="D40" s="183" t="inlineStr">
        <is>
          <t>9:00</t>
        </is>
      </c>
      <c r="E40" s="182" t="inlineStr">
        <is>
          <t>Ahamed John</t>
        </is>
      </c>
      <c r="F40" s="182" t="inlineStr">
        <is>
          <t>North Restroom Hallway (#2)</t>
        </is>
      </c>
      <c r="G40" s="184" t="inlineStr">
        <is>
          <t>OK</t>
        </is>
      </c>
    </row>
    <row r="41" ht="15" customHeight="1" s="120">
      <c r="A41" s="182" t="inlineStr">
        <is>
          <t>T Bridge Landing (#1)</t>
        </is>
      </c>
      <c r="B41" s="182" t="inlineStr">
        <is>
          <t>Aleah Mckinnon</t>
        </is>
      </c>
      <c r="C41" s="183" t="inlineStr">
        <is>
          <t>5:45</t>
        </is>
      </c>
      <c r="D41" s="183" t="inlineStr">
        <is>
          <t>9:00</t>
        </is>
      </c>
      <c r="E41" s="182" t="inlineStr">
        <is>
          <t>Monica Ortiz</t>
        </is>
      </c>
      <c r="F41" s="182" t="inlineStr">
        <is>
          <t>T Bridge Landing (#2)</t>
        </is>
      </c>
      <c r="G41" s="184" t="inlineStr">
        <is>
          <t>OK</t>
        </is>
      </c>
    </row>
    <row r="42" ht="15" customHeight="1" s="120">
      <c r="A42" s="185" t="inlineStr">
        <is>
          <t>Alpha West (1)</t>
        </is>
      </c>
      <c r="B42" s="185" t="inlineStr">
        <is>
          <t>Yahkirah Manggrum</t>
        </is>
      </c>
      <c r="C42" s="186" t="inlineStr">
        <is>
          <t>5:45</t>
        </is>
      </c>
      <c r="D42" s="186" t="inlineStr">
        <is>
          <t>10:00</t>
        </is>
      </c>
      <c r="E42" s="185" t="inlineStr">
        <is>
          <t>No Relief Needed</t>
        </is>
      </c>
      <c r="F42" s="185" t="n"/>
      <c r="G42" s="187" t="inlineStr">
        <is>
          <t>N/A</t>
        </is>
      </c>
    </row>
    <row r="43" ht="15" customHeight="1" s="120">
      <c r="A43" s="185" t="inlineStr">
        <is>
          <t>Charlie West (1)</t>
        </is>
      </c>
      <c r="B43" s="185" t="inlineStr">
        <is>
          <t>Marquise Jackson</t>
        </is>
      </c>
      <c r="C43" s="186" t="inlineStr">
        <is>
          <t>5:45</t>
        </is>
      </c>
      <c r="D43" s="186" t="inlineStr">
        <is>
          <t>10:00</t>
        </is>
      </c>
      <c r="E43" s="185" t="inlineStr">
        <is>
          <t>No Relief Needed</t>
        </is>
      </c>
      <c r="F43" s="185" t="n"/>
      <c r="G43" s="187" t="inlineStr">
        <is>
          <t>N/A</t>
        </is>
      </c>
    </row>
    <row r="44" ht="15" customHeight="1" s="120">
      <c r="A44" s="185" t="inlineStr">
        <is>
          <t>Information Desk Personnel</t>
        </is>
      </c>
      <c r="B44" s="185" t="inlineStr">
        <is>
          <t>Sandra Gerson</t>
        </is>
      </c>
      <c r="C44" s="186" t="inlineStr">
        <is>
          <t>5:45</t>
        </is>
      </c>
      <c r="D44" s="186" t="inlineStr">
        <is>
          <t>10:00</t>
        </is>
      </c>
      <c r="E44" s="185" t="inlineStr">
        <is>
          <t>No Relief Needed</t>
        </is>
      </c>
      <c r="F44" s="185" t="n"/>
      <c r="G44" s="187" t="inlineStr">
        <is>
          <t>N/A</t>
        </is>
      </c>
    </row>
    <row r="45" ht="15" customHeight="1" s="120">
      <c r="A45" s="185" t="inlineStr">
        <is>
          <t>Bravo West (1)</t>
        </is>
      </c>
      <c r="B45" s="185" t="inlineStr">
        <is>
          <t>Isaiah Williams</t>
        </is>
      </c>
      <c r="C45" s="186" t="inlineStr">
        <is>
          <t>5:45</t>
        </is>
      </c>
      <c r="D45" s="186" t="inlineStr">
        <is>
          <t>9:00</t>
        </is>
      </c>
      <c r="E45" s="185" t="inlineStr">
        <is>
          <t>No Relief Needed</t>
        </is>
      </c>
      <c r="F45" s="185" t="n"/>
      <c r="G45" s="187" t="inlineStr">
        <is>
          <t>N/A</t>
        </is>
      </c>
    </row>
    <row r="46" ht="15" customHeight="1" s="120">
      <c r="A46" s="185" t="inlineStr">
        <is>
          <t>Delta West (1)</t>
        </is>
      </c>
      <c r="B46" s="185" t="inlineStr">
        <is>
          <t>Feleke Tekle</t>
        </is>
      </c>
      <c r="C46" s="186" t="inlineStr">
        <is>
          <t>5:45</t>
        </is>
      </c>
      <c r="D46" s="186" t="inlineStr">
        <is>
          <t>9:00</t>
        </is>
      </c>
      <c r="E46" s="185" t="inlineStr">
        <is>
          <t>No Relief Needed</t>
        </is>
      </c>
      <c r="F46" s="185" t="n"/>
      <c r="G46" s="187" t="inlineStr">
        <is>
          <t>N/A</t>
        </is>
      </c>
    </row>
    <row r="47" ht="15" customHeight="1" s="120">
      <c r="A47" s="185" t="inlineStr">
        <is>
          <t>KIA (1)</t>
        </is>
      </c>
      <c r="B47" s="185" t="inlineStr">
        <is>
          <t>Natasha Carbon</t>
        </is>
      </c>
      <c r="C47" s="186" t="inlineStr">
        <is>
          <t>3:45</t>
        </is>
      </c>
      <c r="D47" s="186" t="inlineStr">
        <is>
          <t>9:00</t>
        </is>
      </c>
      <c r="E47" s="185" t="inlineStr">
        <is>
          <t>No Relief Needed</t>
        </is>
      </c>
      <c r="F47" s="185" t="n"/>
      <c r="G47" s="187" t="inlineStr">
        <is>
          <t>N/A</t>
        </is>
      </c>
    </row>
    <row r="48" ht="15" customHeight="1" s="120">
      <c r="A48" s="185" t="inlineStr">
        <is>
          <t>Surveyor (#1)</t>
        </is>
      </c>
      <c r="B48" s="185" t="inlineStr">
        <is>
          <t>Chrystol Harvey</t>
        </is>
      </c>
      <c r="C48" s="186" t="inlineStr">
        <is>
          <t>5:45</t>
        </is>
      </c>
      <c r="D48" s="186" t="inlineStr">
        <is>
          <t>9:00</t>
        </is>
      </c>
      <c r="E48" s="185" t="inlineStr">
        <is>
          <t>No Relief Needed</t>
        </is>
      </c>
      <c r="F48" s="185" t="n"/>
      <c r="G48" s="187" t="inlineStr">
        <is>
          <t>N/A</t>
        </is>
      </c>
    </row>
    <row r="49" ht="15" customHeight="1" s="120">
      <c r="A49" s="185" t="inlineStr">
        <is>
          <t>Surveyor (#2)</t>
        </is>
      </c>
      <c r="B49" s="185" t="inlineStr">
        <is>
          <t>Cicely Thicklin</t>
        </is>
      </c>
      <c r="C49" s="186" t="inlineStr">
        <is>
          <t>5:45</t>
        </is>
      </c>
      <c r="D49" s="186" t="inlineStr">
        <is>
          <t>9:00</t>
        </is>
      </c>
      <c r="E49" s="185" t="inlineStr">
        <is>
          <t>No Relief Needed</t>
        </is>
      </c>
      <c r="F49" s="185" t="n"/>
      <c r="G49" s="187" t="inlineStr">
        <is>
          <t>N/A</t>
        </is>
      </c>
    </row>
    <row r="50" ht="15" customHeight="1" s="120">
      <c r="A50" s="185" t="inlineStr">
        <is>
          <t>Surveyor (#3)</t>
        </is>
      </c>
      <c r="B50" s="185" t="inlineStr">
        <is>
          <t>Jacquatta Green</t>
        </is>
      </c>
      <c r="C50" s="186" t="inlineStr">
        <is>
          <t>5:45</t>
        </is>
      </c>
      <c r="D50" s="186" t="inlineStr">
        <is>
          <t>9:00</t>
        </is>
      </c>
      <c r="E50" s="185" t="inlineStr">
        <is>
          <t>No Relief Needed</t>
        </is>
      </c>
      <c r="F50" s="185" t="n"/>
      <c r="G50" s="187" t="inlineStr">
        <is>
          <t>N/A</t>
        </is>
      </c>
    </row>
    <row r="51" ht="15" customHeight="1" s="120">
      <c r="A51" s="188" t="inlineStr">
        <is>
          <t>Rover</t>
        </is>
      </c>
      <c r="B51" s="188" t="inlineStr">
        <is>
          <t>Sara Alemu</t>
        </is>
      </c>
      <c r="C51" s="189" t="inlineStr">
        <is>
          <t>5:45</t>
        </is>
      </c>
      <c r="D51" s="189" t="inlineStr">
        <is>
          <t>10:00</t>
        </is>
      </c>
      <c r="E51" s="188" t="inlineStr">
        <is>
          <t>— (covers 2/2)</t>
        </is>
      </c>
      <c r="F51" s="188" t="n"/>
      <c r="G51" s="190" t="inlineStr">
        <is>
          <t>ROVER</t>
        </is>
      </c>
    </row>
    <row r="52" ht="15" customHeight="1" s="120">
      <c r="A52" s="188" t="inlineStr">
        <is>
          <t>Rover</t>
        </is>
      </c>
      <c r="B52" s="188" t="inlineStr">
        <is>
          <t>Shawanda Webb</t>
        </is>
      </c>
      <c r="C52" s="189" t="inlineStr">
        <is>
          <t>5:45</t>
        </is>
      </c>
      <c r="D52" s="189" t="inlineStr">
        <is>
          <t>10:00</t>
        </is>
      </c>
      <c r="E52" s="188" t="inlineStr">
        <is>
          <t>— (covers 2/2)</t>
        </is>
      </c>
      <c r="F52" s="188" t="n"/>
      <c r="G52" s="190" t="inlineStr">
        <is>
          <t>ROVER</t>
        </is>
      </c>
    </row>
    <row r="53" ht="15" customHeight="1" s="120">
      <c r="A53" s="188" t="inlineStr">
        <is>
          <t>Rover</t>
        </is>
      </c>
      <c r="B53" s="188" t="inlineStr">
        <is>
          <t>Veronda Jones</t>
        </is>
      </c>
      <c r="C53" s="189" t="inlineStr">
        <is>
          <t>5:45</t>
        </is>
      </c>
      <c r="D53" s="189" t="inlineStr">
        <is>
          <t>10:00</t>
        </is>
      </c>
      <c r="E53" s="188" t="inlineStr">
        <is>
          <t>— (covers 2/2)</t>
        </is>
      </c>
      <c r="F53" s="188" t="n"/>
      <c r="G53" s="190" t="inlineStr">
        <is>
          <t>ROVER</t>
        </is>
      </c>
    </row>
    <row r="54" ht="15" customHeight="1" s="120">
      <c r="A54" s="188" t="inlineStr">
        <is>
          <t>Rover</t>
        </is>
      </c>
      <c r="B54" s="188" t="inlineStr">
        <is>
          <t>Anariah Daniel</t>
        </is>
      </c>
      <c r="C54" s="189" t="inlineStr">
        <is>
          <t>5:45</t>
        </is>
      </c>
      <c r="D54" s="189" t="inlineStr">
        <is>
          <t>9:00</t>
        </is>
      </c>
      <c r="E54" s="188" t="inlineStr">
        <is>
          <t>— (covers 2/2)</t>
        </is>
      </c>
      <c r="F54" s="188" t="n"/>
      <c r="G54" s="190" t="inlineStr">
        <is>
          <t>ROVER</t>
        </is>
      </c>
    </row>
    <row r="55" ht="15" customHeight="1" s="120">
      <c r="A55" s="188" t="inlineStr">
        <is>
          <t>Rover</t>
        </is>
      </c>
      <c r="B55" s="188" t="inlineStr">
        <is>
          <t>Brian Lee</t>
        </is>
      </c>
      <c r="C55" s="189" t="inlineStr">
        <is>
          <t>5:45</t>
        </is>
      </c>
      <c r="D55" s="189" t="inlineStr">
        <is>
          <t>9:00</t>
        </is>
      </c>
      <c r="E55" s="188" t="inlineStr">
        <is>
          <t>— (covers 2/2)</t>
        </is>
      </c>
      <c r="F55" s="188" t="n"/>
      <c r="G55" s="190" t="inlineStr">
        <is>
          <t>ROVER</t>
        </is>
      </c>
    </row>
    <row r="56" ht="15" customHeight="1" s="120">
      <c r="A56" s="188" t="inlineStr">
        <is>
          <t>Rover</t>
        </is>
      </c>
      <c r="B56" s="188" t="inlineStr">
        <is>
          <t>Dequavius Parker</t>
        </is>
      </c>
      <c r="C56" s="189" t="inlineStr">
        <is>
          <t>5:45</t>
        </is>
      </c>
      <c r="D56" s="189" t="inlineStr">
        <is>
          <t>9:00</t>
        </is>
      </c>
      <c r="E56" s="188" t="inlineStr">
        <is>
          <t>— (covers 2/2)</t>
        </is>
      </c>
      <c r="F56" s="188" t="n"/>
      <c r="G56" s="190" t="inlineStr">
        <is>
          <t>ROVER</t>
        </is>
      </c>
    </row>
    <row r="57" ht="15" customHeight="1" s="120">
      <c r="A57" s="188" t="inlineStr">
        <is>
          <t>Rover</t>
        </is>
      </c>
      <c r="B57" s="188" t="inlineStr">
        <is>
          <t>Lashawn Jones</t>
        </is>
      </c>
      <c r="C57" s="189" t="inlineStr">
        <is>
          <t>5:45</t>
        </is>
      </c>
      <c r="D57" s="189" t="inlineStr">
        <is>
          <t>9:00</t>
        </is>
      </c>
      <c r="E57" s="188" t="inlineStr">
        <is>
          <t>— (covers 2/2)</t>
        </is>
      </c>
      <c r="F57" s="188" t="n"/>
      <c r="G57" s="190" t="inlineStr">
        <is>
          <t>ROVER</t>
        </is>
      </c>
    </row>
    <row r="59" ht="15" customHeight="1" s="120">
      <c r="A59" s="191" t="inlineStr">
        <is>
          <t>Total: 53 | OK: 28 | No Relief Needed: 9 | NO RELIEF gaps: 9</t>
        </is>
      </c>
    </row>
    <row r="61" ht="15" customHeight="1" s="120">
      <c r="A61" s="192" t="inlineStr">
        <is>
          <t>ROVER LOAD (AM max 2 covers each)</t>
        </is>
      </c>
    </row>
    <row r="62" ht="15" customHeight="1" s="120">
      <c r="A62" s="134" t="inlineStr">
        <is>
          <t>Anariah Daniel (5:45 AM) — covers 2/2 | own lunch 9:00 | by window {'8:00': 1, '10:00': 1}</t>
        </is>
      </c>
    </row>
    <row r="63" ht="15" customHeight="1" s="120">
      <c r="A63" s="134" t="inlineStr">
        <is>
          <t>Brian Lee (5:45 AM) — covers 2/2 | own lunch 9:00 | by window {'8:00': 1, '10:00': 1}</t>
        </is>
      </c>
    </row>
    <row r="64" ht="15" customHeight="1" s="120">
      <c r="A64" s="134" t="inlineStr">
        <is>
          <t>Dequavius Parker (5:45 AM) — covers 2/2 | own lunch 9:00 | by window {'8:00': 1, '10:00': 1}</t>
        </is>
      </c>
    </row>
    <row r="65" ht="15" customHeight="1" s="120">
      <c r="A65" s="134" t="inlineStr">
        <is>
          <t>Sara Alemu (5:45 AM) — covers 2/2 | own lunch 10:00 | by window {'8:00': 1, '9:00': 1}</t>
        </is>
      </c>
    </row>
    <row r="66" ht="15" customHeight="1" s="120">
      <c r="A66" s="134" t="inlineStr">
        <is>
          <t>Shawanda Webb (5:45 AM) — covers 2/2 | own lunch 10:00 | by window {'8:00': 1, '9:00': 1}</t>
        </is>
      </c>
    </row>
    <row r="67" ht="15" customHeight="1" s="120">
      <c r="A67" s="134" t="inlineStr">
        <is>
          <t>Veronda Jones (5:45 AM) — covers 2/2 | own lunch 10:00 | by window {'8:00': 1, '9:00': 1}</t>
        </is>
      </c>
    </row>
    <row r="68" ht="15" customHeight="1" s="120">
      <c r="A68" s="134" t="inlineStr">
        <is>
          <t>Lashawn Jones (5:45 AM) — covers 2/2 | own lunch 9:00 | by window {'8:00': 1, '10:00': 1}</t>
        </is>
      </c>
    </row>
    <row r="70" ht="15" customHeight="1" s="120">
      <c r="A70" s="134" t="inlineStr">
        <is>
          <t>Lunch counts: 8:00=9  9:00=22  10:00=17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4" min="1" max="1"/>
    <col width="20" customWidth="1" style="134" min="2" max="2"/>
    <col width="8" customWidth="1" style="134" min="3" max="4"/>
    <col width="22" customWidth="1" style="134" min="5" max="5"/>
    <col width="28" customWidth="1" style="134" min="6" max="6"/>
    <col width="12" customWidth="1" style="134" min="7" max="7"/>
  </cols>
  <sheetData>
    <row r="1" ht="17.25" customHeight="1" s="120">
      <c r="A1" s="177" t="inlineStr">
        <is>
          <t>PM BREAK COVERAGE — DEFERRED TO LEADS</t>
        </is>
      </c>
    </row>
    <row r="2" ht="15" customHeight="1" s="120">
      <c r="A2" s="178" t="inlineStr">
        <is>
          <t>Lunch/break assignment is handled by leads in each work zone. Parked for a later phase.</t>
        </is>
      </c>
    </row>
    <row r="4" ht="15" customHeight="1" s="120">
      <c r="A4" s="193" t="inlineStr">
        <is>
          <t>Position</t>
        </is>
      </c>
      <c r="B4" s="193" t="inlineStr">
        <is>
          <t>Employee</t>
        </is>
      </c>
      <c r="C4" s="193" t="inlineStr">
        <is>
          <t>Side</t>
        </is>
      </c>
      <c r="D4" s="193" t="inlineStr">
        <is>
          <t>Lunch</t>
        </is>
      </c>
      <c r="E4" s="193" t="inlineStr">
        <is>
          <t>Relief By</t>
        </is>
      </c>
      <c r="F4" s="193" t="inlineStr">
        <is>
          <t>Relief From</t>
        </is>
      </c>
      <c r="G4" s="193" t="inlineStr">
        <is>
          <t>Status</t>
        </is>
      </c>
    </row>
    <row r="5" ht="15" customHeight="1" s="120">
      <c r="A5" s="175" t="inlineStr">
        <is>
          <t>North Corridor (1)</t>
        </is>
      </c>
      <c r="B5" s="175" t="inlineStr">
        <is>
          <t>Zinash Shiferaw</t>
        </is>
      </c>
      <c r="C5" s="194" t="inlineStr">
        <is>
          <t>12:15</t>
        </is>
      </c>
      <c r="D5" s="194" t="inlineStr">
        <is>
          <t>4:00</t>
        </is>
      </c>
      <c r="E5" s="175" t="inlineStr">
        <is>
          <t>NO RELIEF</t>
        </is>
      </c>
      <c r="F5" s="175" t="n"/>
      <c r="G5" s="195" t="inlineStr">
        <is>
          <t>NO RELIEF</t>
        </is>
      </c>
    </row>
    <row r="6" ht="15" customHeight="1" s="120">
      <c r="A6" s="175" t="inlineStr">
        <is>
          <t>North Restroom Hallway (#1)</t>
        </is>
      </c>
      <c r="B6" s="175" t="inlineStr">
        <is>
          <t>Eyerusalem Esubaluw</t>
        </is>
      </c>
      <c r="C6" s="194" t="inlineStr">
        <is>
          <t>12:15</t>
        </is>
      </c>
      <c r="D6" s="194" t="inlineStr">
        <is>
          <t>4:00</t>
        </is>
      </c>
      <c r="E6" s="175" t="inlineStr">
        <is>
          <t>NO RELIEF</t>
        </is>
      </c>
      <c r="F6" s="175" t="n"/>
      <c r="G6" s="195" t="inlineStr">
        <is>
          <t>NO RELIEF</t>
        </is>
      </c>
    </row>
    <row r="7" ht="15" customHeight="1" s="120">
      <c r="A7" s="175" t="inlineStr">
        <is>
          <t>North Restroom Hallway (#2)</t>
        </is>
      </c>
      <c r="B7" s="175" t="inlineStr">
        <is>
          <t>John Davis</t>
        </is>
      </c>
      <c r="C7" s="194" t="inlineStr">
        <is>
          <t>12:15</t>
        </is>
      </c>
      <c r="D7" s="194" t="inlineStr">
        <is>
          <t>4:00</t>
        </is>
      </c>
      <c r="E7" s="175" t="inlineStr">
        <is>
          <t>NO RELIEF</t>
        </is>
      </c>
      <c r="F7" s="175" t="n"/>
      <c r="G7" s="195" t="inlineStr">
        <is>
          <t>NO RELIEF</t>
        </is>
      </c>
    </row>
    <row r="8" ht="15" customHeight="1" s="120">
      <c r="A8" s="175" t="inlineStr">
        <is>
          <t>We Juice It (1)</t>
        </is>
      </c>
      <c r="B8" s="175" t="inlineStr">
        <is>
          <t>Ivory Johnson</t>
        </is>
      </c>
      <c r="C8" s="194" t="inlineStr">
        <is>
          <t>12:15</t>
        </is>
      </c>
      <c r="D8" s="194" t="inlineStr">
        <is>
          <t>4:00</t>
        </is>
      </c>
      <c r="E8" s="175" t="inlineStr">
        <is>
          <t>NO RELIEF</t>
        </is>
      </c>
      <c r="F8" s="175" t="n"/>
      <c r="G8" s="195" t="inlineStr">
        <is>
          <t>NO RELIEF</t>
        </is>
      </c>
    </row>
    <row r="9" ht="15" customHeight="1" s="120">
      <c r="A9" s="175" t="inlineStr">
        <is>
          <t>Lower North Divesting (#3)</t>
        </is>
      </c>
      <c r="B9" s="175" t="inlineStr">
        <is>
          <t>Akuugo Nduaguba</t>
        </is>
      </c>
      <c r="C9" s="194" t="inlineStr">
        <is>
          <t>2:00</t>
        </is>
      </c>
      <c r="D9" s="194" t="inlineStr">
        <is>
          <t>6:00</t>
        </is>
      </c>
      <c r="E9" s="175" t="inlineStr">
        <is>
          <t>NO RELIEF</t>
        </is>
      </c>
      <c r="F9" s="175" t="n"/>
      <c r="G9" s="195" t="inlineStr">
        <is>
          <t>NO RELIEF</t>
        </is>
      </c>
    </row>
    <row r="10" ht="15" customHeight="1" s="120">
      <c r="A10" s="175" t="inlineStr">
        <is>
          <t>N5 Door (1)</t>
        </is>
      </c>
      <c r="B10" s="175" t="inlineStr">
        <is>
          <t>Kori Jenkins</t>
        </is>
      </c>
      <c r="C10" s="194" t="inlineStr">
        <is>
          <t>2:00</t>
        </is>
      </c>
      <c r="D10" s="194" t="inlineStr">
        <is>
          <t>6:00</t>
        </is>
      </c>
      <c r="E10" s="175" t="inlineStr">
        <is>
          <t>NO RELIEF</t>
        </is>
      </c>
      <c r="F10" s="175" t="n"/>
      <c r="G10" s="195" t="inlineStr">
        <is>
          <t>NO RELIEF</t>
        </is>
      </c>
    </row>
    <row r="11" ht="15" customHeight="1" s="120">
      <c r="A11" s="182" t="inlineStr">
        <is>
          <t>Front Entrance (#2)</t>
        </is>
      </c>
      <c r="B11" s="182" t="inlineStr">
        <is>
          <t>Chiedu Memeh</t>
        </is>
      </c>
      <c r="C11" s="196" t="inlineStr">
        <is>
          <t>12:15</t>
        </is>
      </c>
      <c r="D11" s="196" t="inlineStr">
        <is>
          <t>4:00</t>
        </is>
      </c>
      <c r="E11" s="182" t="inlineStr">
        <is>
          <t>Elizabeth Harlee</t>
        </is>
      </c>
      <c r="F11" s="182" t="inlineStr">
        <is>
          <t>Front Entrance (#1)</t>
        </is>
      </c>
      <c r="G11" s="197" t="inlineStr">
        <is>
          <t>OK</t>
        </is>
      </c>
    </row>
    <row r="12" ht="15" customHeight="1" s="120">
      <c r="A12" s="182" t="inlineStr">
        <is>
          <t>IHOP (1)</t>
        </is>
      </c>
      <c r="B12" s="182" t="inlineStr">
        <is>
          <t>Brittney Quave</t>
        </is>
      </c>
      <c r="C12" s="196" t="inlineStr">
        <is>
          <t>12:15</t>
        </is>
      </c>
      <c r="D12" s="196" t="inlineStr">
        <is>
          <t>4:00</t>
        </is>
      </c>
      <c r="E12" s="182" t="inlineStr">
        <is>
          <t>Rihana Ababulla</t>
        </is>
      </c>
      <c r="F12" s="182" t="inlineStr">
        <is>
          <t>Rover</t>
        </is>
      </c>
      <c r="G12" s="197" t="inlineStr">
        <is>
          <t>OK</t>
        </is>
      </c>
    </row>
    <row r="13" ht="15" customHeight="1" s="120">
      <c r="A13" s="182" t="inlineStr">
        <is>
          <t>Inside Center (1)</t>
        </is>
      </c>
      <c r="B13" s="182" t="inlineStr">
        <is>
          <t>De'Anna Reese</t>
        </is>
      </c>
      <c r="C13" s="196" t="inlineStr">
        <is>
          <t>12:15</t>
        </is>
      </c>
      <c r="D13" s="196" t="inlineStr">
        <is>
          <t>4:00</t>
        </is>
      </c>
      <c r="E13" s="182" t="inlineStr">
        <is>
          <t>Khalia Mitchell</t>
        </is>
      </c>
      <c r="F13" s="182" t="inlineStr">
        <is>
          <t>Front Entrance (#1)</t>
        </is>
      </c>
      <c r="G13" s="197" t="inlineStr">
        <is>
          <t>OK</t>
        </is>
      </c>
    </row>
    <row r="14" ht="15" customHeight="1" s="120">
      <c r="A14" s="182" t="inlineStr">
        <is>
          <t>Lanes 17-18 (1)</t>
        </is>
      </c>
      <c r="B14" s="182" t="inlineStr">
        <is>
          <t>Veronica Laster</t>
        </is>
      </c>
      <c r="C14" s="196" t="inlineStr">
        <is>
          <t>12:15</t>
        </is>
      </c>
      <c r="D14" s="196" t="inlineStr">
        <is>
          <t>4:00</t>
        </is>
      </c>
      <c r="E14" s="182" t="inlineStr">
        <is>
          <t>Amadou Diallo</t>
        </is>
      </c>
      <c r="F14" s="182" t="inlineStr">
        <is>
          <t>Front Entrance (#2)</t>
        </is>
      </c>
      <c r="G14" s="197" t="inlineStr">
        <is>
          <t>OK</t>
        </is>
      </c>
    </row>
    <row r="15" ht="15" customHeight="1" s="120">
      <c r="A15" s="182" t="inlineStr">
        <is>
          <t>Checkpoint – Front Entrance (#2)</t>
        </is>
      </c>
      <c r="B15" s="182" t="inlineStr">
        <is>
          <t>Amadou Diallo</t>
        </is>
      </c>
      <c r="C15" s="196" t="inlineStr">
        <is>
          <t>12:15</t>
        </is>
      </c>
      <c r="D15" s="196" t="inlineStr">
        <is>
          <t>5:00</t>
        </is>
      </c>
      <c r="E15" s="182" t="inlineStr">
        <is>
          <t>Elizabeth Harlee</t>
        </is>
      </c>
      <c r="F15" s="182" t="inlineStr">
        <is>
          <t>Checkpoint - Front Entrance (#1)</t>
        </is>
      </c>
      <c r="G15" s="197" t="inlineStr">
        <is>
          <t>OK</t>
        </is>
      </c>
    </row>
    <row r="16" ht="15" customHeight="1" s="120">
      <c r="A16" s="182" t="inlineStr">
        <is>
          <t>Hallway Pre-check Overflow (1)</t>
        </is>
      </c>
      <c r="B16" s="182" t="inlineStr">
        <is>
          <t>Agnes Bammannage</t>
        </is>
      </c>
      <c r="C16" s="196" t="inlineStr">
        <is>
          <t>12:15</t>
        </is>
      </c>
      <c r="D16" s="196" t="inlineStr">
        <is>
          <t>5:00</t>
        </is>
      </c>
      <c r="E16" s="182" t="inlineStr">
        <is>
          <t>Brittney Quave</t>
        </is>
      </c>
      <c r="F16" s="182" t="inlineStr">
        <is>
          <t>IHOP (1)</t>
        </is>
      </c>
      <c r="G16" s="197" t="inlineStr">
        <is>
          <t>OK</t>
        </is>
      </c>
    </row>
    <row r="17" ht="15" customHeight="1" s="120">
      <c r="A17" s="182" t="inlineStr">
        <is>
          <t>Lower North Divesting (#1)</t>
        </is>
      </c>
      <c r="B17" s="182" t="inlineStr">
        <is>
          <t>Elena Thomas</t>
        </is>
      </c>
      <c r="C17" s="196" t="inlineStr">
        <is>
          <t>12:15</t>
        </is>
      </c>
      <c r="D17" s="196" t="inlineStr">
        <is>
          <t>5:00</t>
        </is>
      </c>
      <c r="E17" s="182" t="inlineStr">
        <is>
          <t>Ivory Johnson</t>
        </is>
      </c>
      <c r="F17" s="182" t="inlineStr">
        <is>
          <t>We Juice It (1)</t>
        </is>
      </c>
      <c r="G17" s="197" t="inlineStr">
        <is>
          <t>OK</t>
        </is>
      </c>
    </row>
    <row r="18" ht="15" customHeight="1" s="120">
      <c r="A18" s="182" t="inlineStr">
        <is>
          <t>North Divesting (#3)</t>
        </is>
      </c>
      <c r="B18" s="182" t="inlineStr">
        <is>
          <t>Darrius Dunlap</t>
        </is>
      </c>
      <c r="C18" s="196" t="inlineStr">
        <is>
          <t>12:15</t>
        </is>
      </c>
      <c r="D18" s="196" t="inlineStr">
        <is>
          <t>5:00</t>
        </is>
      </c>
      <c r="E18" s="182" t="inlineStr">
        <is>
          <t>Eyerusalem Esubaluw</t>
        </is>
      </c>
      <c r="F18" s="182" t="inlineStr">
        <is>
          <t>North Restroom Hallway (#1)</t>
        </is>
      </c>
      <c r="G18" s="197" t="inlineStr">
        <is>
          <t>OK</t>
        </is>
      </c>
    </row>
    <row r="19" ht="15" customHeight="1" s="120">
      <c r="A19" s="182" t="inlineStr">
        <is>
          <t>South Restroom (1)</t>
        </is>
      </c>
      <c r="B19" s="182" t="inlineStr">
        <is>
          <t>Carrie Weaver</t>
        </is>
      </c>
      <c r="C19" s="196" t="inlineStr">
        <is>
          <t>12:15</t>
        </is>
      </c>
      <c r="D19" s="196" t="inlineStr">
        <is>
          <t>5:00</t>
        </is>
      </c>
      <c r="E19" s="182" t="inlineStr">
        <is>
          <t>David Holloman</t>
        </is>
      </c>
      <c r="F19" s="182" t="inlineStr">
        <is>
          <t>KIA (1)</t>
        </is>
      </c>
      <c r="G19" s="197" t="inlineStr">
        <is>
          <t>OK</t>
        </is>
      </c>
    </row>
    <row r="20" ht="15" customHeight="1" s="120">
      <c r="A20" s="182" t="inlineStr">
        <is>
          <t>ADA Entrance (1)</t>
        </is>
      </c>
      <c r="B20" s="182" t="inlineStr">
        <is>
          <t>Theresa Logan</t>
        </is>
      </c>
      <c r="C20" s="196" t="inlineStr">
        <is>
          <t>2:00</t>
        </is>
      </c>
      <c r="D20" s="196" t="inlineStr">
        <is>
          <t>6:00</t>
        </is>
      </c>
      <c r="E20" s="182" t="inlineStr">
        <is>
          <t>Elizabeth Harlee</t>
        </is>
      </c>
      <c r="F20" s="182" t="inlineStr">
        <is>
          <t>Front Entrance (#1)</t>
        </is>
      </c>
      <c r="G20" s="197" t="inlineStr">
        <is>
          <t>OK</t>
        </is>
      </c>
    </row>
    <row r="21" ht="15" customHeight="1" s="120">
      <c r="A21" s="182" t="inlineStr">
        <is>
          <t>Checkpoint – Front Entrance (#1)</t>
        </is>
      </c>
      <c r="B21" s="182" t="inlineStr">
        <is>
          <t>Khalia Mitchell</t>
        </is>
      </c>
      <c r="C21" s="196" t="inlineStr">
        <is>
          <t>2:00</t>
        </is>
      </c>
      <c r="D21" s="196" t="inlineStr">
        <is>
          <t>6:00</t>
        </is>
      </c>
      <c r="E21" s="182" t="inlineStr">
        <is>
          <t>Chiedu Memeh</t>
        </is>
      </c>
      <c r="F21" s="182" t="inlineStr">
        <is>
          <t>Checkpoint - Front Entrance (#2)</t>
        </is>
      </c>
      <c r="G21" s="197" t="inlineStr">
        <is>
          <t>OK</t>
        </is>
      </c>
    </row>
    <row r="22" ht="15" customHeight="1" s="120">
      <c r="A22" s="182" t="inlineStr">
        <is>
          <t>Checkpoint – Inside (#1)</t>
        </is>
      </c>
      <c r="B22" s="182" t="inlineStr">
        <is>
          <t>Zekiah Robinson</t>
        </is>
      </c>
      <c r="C22" s="196" t="inlineStr">
        <is>
          <t>2:00</t>
        </is>
      </c>
      <c r="D22" s="196" t="inlineStr">
        <is>
          <t>6:00</t>
        </is>
      </c>
      <c r="E22" s="182" t="inlineStr">
        <is>
          <t>Alyssa Prince</t>
        </is>
      </c>
      <c r="F22" s="182" t="inlineStr">
        <is>
          <t>Rover</t>
        </is>
      </c>
      <c r="G22" s="197" t="inlineStr">
        <is>
          <t>OK</t>
        </is>
      </c>
    </row>
    <row r="23" ht="15" customHeight="1" s="120">
      <c r="A23" s="182" t="inlineStr">
        <is>
          <t>LN2 Elevator (1)</t>
        </is>
      </c>
      <c r="B23" s="182" t="inlineStr">
        <is>
          <t>Yitshhaq Sagahon</t>
        </is>
      </c>
      <c r="C23" s="196" t="inlineStr">
        <is>
          <t>2:00</t>
        </is>
      </c>
      <c r="D23" s="196" t="inlineStr">
        <is>
          <t>6:00</t>
        </is>
      </c>
      <c r="E23" s="182" t="inlineStr">
        <is>
          <t>Ivory Johnson</t>
        </is>
      </c>
      <c r="F23" s="182" t="inlineStr">
        <is>
          <t>We Juice It (1)</t>
        </is>
      </c>
      <c r="G23" s="197" t="inlineStr">
        <is>
          <t>OK</t>
        </is>
      </c>
    </row>
    <row r="24" ht="15" customHeight="1" s="120">
      <c r="A24" s="182" t="inlineStr">
        <is>
          <t>Lower North Divesting (#2)</t>
        </is>
      </c>
      <c r="B24" s="182" t="inlineStr">
        <is>
          <t>Jordan Gilley</t>
        </is>
      </c>
      <c r="C24" s="196" t="inlineStr">
        <is>
          <t>2:00</t>
        </is>
      </c>
      <c r="D24" s="196" t="inlineStr">
        <is>
          <t>6:00</t>
        </is>
      </c>
      <c r="E24" s="182" t="inlineStr">
        <is>
          <t>Rihana Ababulla</t>
        </is>
      </c>
      <c r="F24" s="182" t="inlineStr">
        <is>
          <t>Rover</t>
        </is>
      </c>
      <c r="G24" s="197" t="inlineStr">
        <is>
          <t>OK</t>
        </is>
      </c>
    </row>
    <row r="25" ht="15" customHeight="1" s="120">
      <c r="A25" s="182" t="inlineStr">
        <is>
          <t>North Divesting (#4)</t>
        </is>
      </c>
      <c r="B25" s="182" t="inlineStr">
        <is>
          <t>Timicha Marshall</t>
        </is>
      </c>
      <c r="C25" s="196" t="inlineStr">
        <is>
          <t>2:00</t>
        </is>
      </c>
      <c r="D25" s="196" t="inlineStr">
        <is>
          <t>6:00</t>
        </is>
      </c>
      <c r="E25" s="182" t="inlineStr">
        <is>
          <t>John Davis</t>
        </is>
      </c>
      <c r="F25" s="182" t="inlineStr">
        <is>
          <t>North Restroom Hallway (#2)</t>
        </is>
      </c>
      <c r="G25" s="197" t="inlineStr">
        <is>
          <t>OK</t>
        </is>
      </c>
    </row>
    <row r="26" ht="15" customHeight="1" s="120">
      <c r="A26" s="182" t="inlineStr">
        <is>
          <t>T Bridge Landing (#1)</t>
        </is>
      </c>
      <c r="B26" s="182" t="inlineStr">
        <is>
          <t>Bousso Dioum</t>
        </is>
      </c>
      <c r="C26" s="196" t="inlineStr">
        <is>
          <t>2:00</t>
        </is>
      </c>
      <c r="D26" s="196" t="inlineStr">
        <is>
          <t>6:00</t>
        </is>
      </c>
      <c r="E26" s="182" t="inlineStr">
        <is>
          <t>Princess Vance</t>
        </is>
      </c>
      <c r="F26" s="182" t="inlineStr">
        <is>
          <t>T Bridge Landing (#2)</t>
        </is>
      </c>
      <c r="G26" s="197" t="inlineStr">
        <is>
          <t>OK</t>
        </is>
      </c>
    </row>
    <row r="27" ht="15" customHeight="1" s="120">
      <c r="A27" s="182" t="inlineStr">
        <is>
          <t>T Platform Train Doors (#2)</t>
        </is>
      </c>
      <c r="B27" s="182" t="inlineStr">
        <is>
          <t>Richard Soro</t>
        </is>
      </c>
      <c r="C27" s="196" t="inlineStr">
        <is>
          <t>2:00</t>
        </is>
      </c>
      <c r="D27" s="196" t="inlineStr">
        <is>
          <t>6:00</t>
        </is>
      </c>
      <c r="E27" s="182" t="inlineStr">
        <is>
          <t>Youssouf Traore</t>
        </is>
      </c>
      <c r="F27" s="182" t="inlineStr">
        <is>
          <t>T Platform Train Doors (#1)</t>
        </is>
      </c>
      <c r="G27" s="197" t="inlineStr">
        <is>
          <t>OK</t>
        </is>
      </c>
    </row>
    <row r="28" ht="15" customHeight="1" s="120">
      <c r="A28" s="182" t="inlineStr">
        <is>
          <t>Checkpoint – Inside (1)</t>
        </is>
      </c>
      <c r="B28" s="182" t="inlineStr">
        <is>
          <t>Tangy Winfrey</t>
        </is>
      </c>
      <c r="C28" s="196" t="inlineStr">
        <is>
          <t>2:00</t>
        </is>
      </c>
      <c r="D28" s="196" t="inlineStr">
        <is>
          <t>7:00</t>
        </is>
      </c>
      <c r="E28" s="182" t="inlineStr">
        <is>
          <t>Alyssa Prince</t>
        </is>
      </c>
      <c r="F28" s="182" t="inlineStr">
        <is>
          <t>Rover</t>
        </is>
      </c>
      <c r="G28" s="197" t="inlineStr">
        <is>
          <t>OK</t>
        </is>
      </c>
    </row>
    <row r="29" ht="15" customHeight="1" s="120">
      <c r="A29" s="182" t="inlineStr">
        <is>
          <t>Domestic Baggage Claim (1)</t>
        </is>
      </c>
      <c r="B29" s="182" t="inlineStr">
        <is>
          <t>Kaci Cosper</t>
        </is>
      </c>
      <c r="C29" s="196" t="inlineStr">
        <is>
          <t>2:00</t>
        </is>
      </c>
      <c r="D29" s="196" t="inlineStr">
        <is>
          <t>7:00</t>
        </is>
      </c>
      <c r="E29" s="182" t="inlineStr">
        <is>
          <t>Rihana Ababulla</t>
        </is>
      </c>
      <c r="F29" s="182" t="inlineStr">
        <is>
          <t>Rover</t>
        </is>
      </c>
      <c r="G29" s="197" t="inlineStr">
        <is>
          <t>OK</t>
        </is>
      </c>
    </row>
    <row r="30" ht="15" customHeight="1" s="120">
      <c r="A30" s="182" t="inlineStr">
        <is>
          <t>Front Entrance (#1)</t>
        </is>
      </c>
      <c r="B30" s="182" t="inlineStr">
        <is>
          <t>Elizabeth Harlee</t>
        </is>
      </c>
      <c r="C30" s="196" t="inlineStr">
        <is>
          <t>2:00</t>
        </is>
      </c>
      <c r="D30" s="196" t="inlineStr">
        <is>
          <t>7:00</t>
        </is>
      </c>
      <c r="E30" s="182" t="inlineStr">
        <is>
          <t>Chiedu Memeh</t>
        </is>
      </c>
      <c r="F30" s="182" t="inlineStr">
        <is>
          <t>Front Entrance (#2)</t>
        </is>
      </c>
      <c r="G30" s="197" t="inlineStr">
        <is>
          <t>OK</t>
        </is>
      </c>
    </row>
    <row r="31" ht="15" customHeight="1" s="120">
      <c r="A31" s="182" t="inlineStr">
        <is>
          <t>Lanes 1-3/Pre-Check (1)</t>
        </is>
      </c>
      <c r="B31" s="182" t="inlineStr">
        <is>
          <t>Aaliyah Snider</t>
        </is>
      </c>
      <c r="C31" s="196" t="inlineStr">
        <is>
          <t>2:00</t>
        </is>
      </c>
      <c r="D31" s="196" t="inlineStr">
        <is>
          <t>7:00</t>
        </is>
      </c>
      <c r="E31" s="182" t="inlineStr">
        <is>
          <t>David Holloman</t>
        </is>
      </c>
      <c r="F31" s="182" t="inlineStr">
        <is>
          <t>KIA (1)</t>
        </is>
      </c>
      <c r="G31" s="197" t="inlineStr">
        <is>
          <t>OK</t>
        </is>
      </c>
    </row>
    <row r="32" ht="15" customHeight="1" s="120">
      <c r="A32" s="182" t="inlineStr">
        <is>
          <t>North Divesting (#1)</t>
        </is>
      </c>
      <c r="B32" s="182" t="inlineStr">
        <is>
          <t>Ashley Lazenby</t>
        </is>
      </c>
      <c r="C32" s="196" t="inlineStr">
        <is>
          <t>2:00</t>
        </is>
      </c>
      <c r="D32" s="196" t="inlineStr">
        <is>
          <t>7:00</t>
        </is>
      </c>
      <c r="E32" s="182" t="inlineStr">
        <is>
          <t>John Davis</t>
        </is>
      </c>
      <c r="F32" s="182" t="inlineStr">
        <is>
          <t>North Restroom Hallway (#2)</t>
        </is>
      </c>
      <c r="G32" s="197" t="inlineStr">
        <is>
          <t>OK</t>
        </is>
      </c>
    </row>
    <row r="33" ht="15" customHeight="1" s="120">
      <c r="A33" s="182" t="inlineStr">
        <is>
          <t>North Divesting (#2)</t>
        </is>
      </c>
      <c r="B33" s="182" t="inlineStr">
        <is>
          <t>Cheikh Sylla</t>
        </is>
      </c>
      <c r="C33" s="196" t="inlineStr">
        <is>
          <t>2:00</t>
        </is>
      </c>
      <c r="D33" s="196" t="inlineStr">
        <is>
          <t>7:00</t>
        </is>
      </c>
      <c r="E33" s="182" t="inlineStr">
        <is>
          <t>Eyerusalem Esubaluw</t>
        </is>
      </c>
      <c r="F33" s="182" t="inlineStr">
        <is>
          <t>North Restroom Hallway (#1)</t>
        </is>
      </c>
      <c r="G33" s="197" t="inlineStr">
        <is>
          <t>OK</t>
        </is>
      </c>
    </row>
    <row r="34" ht="15" customHeight="1" s="120">
      <c r="A34" s="182" t="inlineStr">
        <is>
          <t>T Bridge Landing (#2)</t>
        </is>
      </c>
      <c r="B34" s="182" t="inlineStr">
        <is>
          <t>Princess Vance</t>
        </is>
      </c>
      <c r="C34" s="196" t="inlineStr">
        <is>
          <t>2:00</t>
        </is>
      </c>
      <c r="D34" s="196" t="inlineStr">
        <is>
          <t>7:00</t>
        </is>
      </c>
      <c r="E34" s="182" t="inlineStr">
        <is>
          <t>Bousso Dioum</t>
        </is>
      </c>
      <c r="F34" s="182" t="inlineStr">
        <is>
          <t>T Bridge Landing (#1)</t>
        </is>
      </c>
      <c r="G34" s="197" t="inlineStr">
        <is>
          <t>OK</t>
        </is>
      </c>
    </row>
    <row r="35" ht="15" customHeight="1" s="120">
      <c r="A35" s="182" t="inlineStr">
        <is>
          <t>T Platform Train Doors (#1)</t>
        </is>
      </c>
      <c r="B35" s="182" t="inlineStr">
        <is>
          <t>Youssouf Traore</t>
        </is>
      </c>
      <c r="C35" s="196" t="inlineStr">
        <is>
          <t>2:00</t>
        </is>
      </c>
      <c r="D35" s="196" t="inlineStr">
        <is>
          <t>7:00</t>
        </is>
      </c>
      <c r="E35" s="182" t="inlineStr">
        <is>
          <t>Richard Soro</t>
        </is>
      </c>
      <c r="F35" s="182" t="inlineStr">
        <is>
          <t>T Platform Train Doors (#2)</t>
        </is>
      </c>
      <c r="G35" s="197" t="inlineStr">
        <is>
          <t>OK</t>
        </is>
      </c>
    </row>
    <row r="36" ht="15" customHeight="1" s="120">
      <c r="A36" s="185" t="inlineStr">
        <is>
          <t>KIA (1)</t>
        </is>
      </c>
      <c r="B36" s="185" t="inlineStr">
        <is>
          <t>David Holloman</t>
        </is>
      </c>
      <c r="C36" s="198" t="inlineStr">
        <is>
          <t>12:15</t>
        </is>
      </c>
      <c r="D36" s="198" t="inlineStr">
        <is>
          <t>4:00</t>
        </is>
      </c>
      <c r="E36" s="185" t="inlineStr">
        <is>
          <t>No Relief Needed</t>
        </is>
      </c>
      <c r="F36" s="185" t="n"/>
      <c r="G36" s="199" t="inlineStr">
        <is>
          <t>N/A</t>
        </is>
      </c>
    </row>
    <row r="37" ht="15" customHeight="1" s="120">
      <c r="A37" s="185" t="inlineStr">
        <is>
          <t>Surveyor (#2)</t>
        </is>
      </c>
      <c r="B37" s="185" t="inlineStr">
        <is>
          <t>Kaba Diop</t>
        </is>
      </c>
      <c r="C37" s="198" t="inlineStr">
        <is>
          <t>12:15</t>
        </is>
      </c>
      <c r="D37" s="198" t="inlineStr">
        <is>
          <t>4:00</t>
        </is>
      </c>
      <c r="E37" s="185" t="inlineStr">
        <is>
          <t>No Relief Needed</t>
        </is>
      </c>
      <c r="F37" s="185" t="n"/>
      <c r="G37" s="199" t="inlineStr">
        <is>
          <t>N/A</t>
        </is>
      </c>
    </row>
    <row r="38" ht="15" customHeight="1" s="120">
      <c r="A38" s="185" t="inlineStr">
        <is>
          <t>Surveyor (#1)</t>
        </is>
      </c>
      <c r="B38" s="185" t="inlineStr">
        <is>
          <t>Falana Broughton</t>
        </is>
      </c>
      <c r="C38" s="198" t="inlineStr">
        <is>
          <t>12:15</t>
        </is>
      </c>
      <c r="D38" s="198" t="inlineStr">
        <is>
          <t>5:00</t>
        </is>
      </c>
      <c r="E38" s="185" t="inlineStr">
        <is>
          <t>No Relief Needed</t>
        </is>
      </c>
      <c r="F38" s="185" t="n"/>
      <c r="G38" s="199" t="inlineStr">
        <is>
          <t>N/A</t>
        </is>
      </c>
    </row>
    <row r="39" ht="15" customHeight="1" s="120">
      <c r="A39" s="185" t="inlineStr">
        <is>
          <t>Charlie West (1)</t>
        </is>
      </c>
      <c r="B39" s="185" t="inlineStr">
        <is>
          <t>Khursheeda Nasreen</t>
        </is>
      </c>
      <c r="C39" s="198" t="inlineStr">
        <is>
          <t>2:00</t>
        </is>
      </c>
      <c r="D39" s="198" t="inlineStr">
        <is>
          <t>6:00</t>
        </is>
      </c>
      <c r="E39" s="185" t="inlineStr">
        <is>
          <t>No Relief Needed</t>
        </is>
      </c>
      <c r="F39" s="185" t="n"/>
      <c r="G39" s="199" t="inlineStr">
        <is>
          <t>N/A</t>
        </is>
      </c>
    </row>
    <row r="40" ht="15" customHeight="1" s="120">
      <c r="A40" s="185" t="inlineStr">
        <is>
          <t>Alpha West (1)</t>
        </is>
      </c>
      <c r="B40" s="185" t="inlineStr">
        <is>
          <t>Heather Wray</t>
        </is>
      </c>
      <c r="C40" s="198" t="inlineStr">
        <is>
          <t>2:00</t>
        </is>
      </c>
      <c r="D40" s="198" t="inlineStr">
        <is>
          <t>7:00</t>
        </is>
      </c>
      <c r="E40" s="185" t="inlineStr">
        <is>
          <t>No Relief Needed</t>
        </is>
      </c>
      <c r="F40" s="185" t="n"/>
      <c r="G40" s="199" t="inlineStr">
        <is>
          <t>N/A</t>
        </is>
      </c>
    </row>
    <row r="41" ht="15" customHeight="1" s="120">
      <c r="A41" s="185" t="inlineStr">
        <is>
          <t>Bravo West (1)</t>
        </is>
      </c>
      <c r="B41" s="185" t="inlineStr">
        <is>
          <t>Braheem Wooden</t>
        </is>
      </c>
      <c r="C41" s="198" t="inlineStr">
        <is>
          <t>2:00</t>
        </is>
      </c>
      <c r="D41" s="198" t="inlineStr">
        <is>
          <t>7:00</t>
        </is>
      </c>
      <c r="E41" s="185" t="inlineStr">
        <is>
          <t>No Relief Needed</t>
        </is>
      </c>
      <c r="F41" s="185" t="n"/>
      <c r="G41" s="199" t="inlineStr">
        <is>
          <t>N/A</t>
        </is>
      </c>
    </row>
    <row r="42" ht="15" customHeight="1" s="120">
      <c r="A42" s="185" t="inlineStr">
        <is>
          <t>Delta West (1)</t>
        </is>
      </c>
      <c r="B42" s="185" t="inlineStr">
        <is>
          <t>Rozita Davis</t>
        </is>
      </c>
      <c r="C42" s="198" t="inlineStr">
        <is>
          <t>2:00</t>
        </is>
      </c>
      <c r="D42" s="198" t="inlineStr">
        <is>
          <t>7:00</t>
        </is>
      </c>
      <c r="E42" s="185" t="inlineStr">
        <is>
          <t>No Relief Needed</t>
        </is>
      </c>
      <c r="F42" s="185" t="n"/>
      <c r="G42" s="199" t="inlineStr">
        <is>
          <t>N/A</t>
        </is>
      </c>
    </row>
    <row r="43" ht="15" customHeight="1" s="120">
      <c r="A43" s="188" t="inlineStr">
        <is>
          <t>Rover</t>
        </is>
      </c>
      <c r="B43" s="188" t="inlineStr">
        <is>
          <t>Alyssa Prince</t>
        </is>
      </c>
      <c r="C43" s="200" t="inlineStr">
        <is>
          <t>12:15</t>
        </is>
      </c>
      <c r="D43" s="200" t="inlineStr">
        <is>
          <t>4:00</t>
        </is>
      </c>
      <c r="E43" s="188" t="inlineStr">
        <is>
          <t>— (covers 2/3)</t>
        </is>
      </c>
      <c r="F43" s="188" t="n"/>
      <c r="G43" s="201" t="inlineStr">
        <is>
          <t>ROVER</t>
        </is>
      </c>
    </row>
    <row r="44" ht="15" customHeight="1" s="120">
      <c r="A44" s="188" t="inlineStr">
        <is>
          <t>Rover</t>
        </is>
      </c>
      <c r="B44" s="188" t="inlineStr">
        <is>
          <t>Rihana Ababulla</t>
        </is>
      </c>
      <c r="C44" s="200" t="inlineStr">
        <is>
          <t>12:15</t>
        </is>
      </c>
      <c r="D44" s="200" t="inlineStr">
        <is>
          <t>5:00</t>
        </is>
      </c>
      <c r="E44" s="188" t="inlineStr">
        <is>
          <t>— (covers 3/3)</t>
        </is>
      </c>
      <c r="F44" s="188" t="n"/>
      <c r="G44" s="201" t="inlineStr">
        <is>
          <t>ROVER</t>
        </is>
      </c>
    </row>
    <row r="46" ht="15" customHeight="1" s="120">
      <c r="A46" s="191" t="inlineStr">
        <is>
          <t>Total: 40 | OK: 25 | No Relief Needed: 7 | NO RELIEF gaps: 6</t>
        </is>
      </c>
    </row>
    <row r="48" ht="15" customHeight="1" s="120">
      <c r="A48" s="192" t="inlineStr">
        <is>
          <t>ROVER LOAD (PM max 3)</t>
        </is>
      </c>
    </row>
    <row r="49" ht="15" customHeight="1" s="120">
      <c r="A49" s="134" t="inlineStr">
        <is>
          <t>Rihana Ababulla (12:15 PM) — covers 3/3 | own lunch 5:00 | by window {'4:00': 1, '6:00': 1, '7:00': 1}</t>
        </is>
      </c>
    </row>
    <row r="50" ht="15" customHeight="1" s="120">
      <c r="A50" s="134" t="inlineStr">
        <is>
          <t>Alyssa Prince (12:15 PM) — covers 2/3 | own lunch 4:00 | by window {'6:00': 1, '7:00': 1}</t>
        </is>
      </c>
    </row>
    <row r="52" ht="15" customHeight="1" s="120">
      <c r="A52" s="134" t="inlineStr">
        <is>
          <t>Lunch window counts: {'7:00': 11, '4:00': 11, '6:00': 11, '5:00': 7}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4" min="1" max="1"/>
    <col width="42" customWidth="1" style="134" min="2" max="2"/>
    <col width="12" customWidth="1" style="134" min="3" max="4"/>
    <col width="28" customWidth="1" style="134" min="5" max="5"/>
    <col width="10" customWidth="1" style="134" min="6" max="6"/>
  </cols>
  <sheetData>
    <row r="1" ht="17.25" customHeight="1" s="120">
      <c r="A1" s="135" t="inlineStr">
        <is>
          <t>VALIDATION &amp; SMOKE-TEST CHECKLIST</t>
        </is>
      </c>
    </row>
    <row r="2" ht="15" customHeight="1" s="120">
      <c r="A2" s="202" t="inlineStr">
        <is>
          <t>After date change or playbook regen: Ctrl+Alt+F5, then complete checklist.</t>
        </is>
      </c>
    </row>
    <row r="4" ht="15" customHeight="1" s="120">
      <c r="A4" s="203" t="inlineStr">
        <is>
          <t>Check</t>
        </is>
      </c>
      <c r="B4" s="203" t="inlineStr">
        <is>
          <t>What to verify</t>
        </is>
      </c>
      <c r="C4" s="203" t="inlineStr">
        <is>
          <t>Pass Y/N</t>
        </is>
      </c>
      <c r="D4" s="203" t="inlineStr">
        <is>
          <t>Notes</t>
        </is>
      </c>
    </row>
    <row r="5" ht="15" customHeight="1" s="120">
      <c r="A5" s="142" t="inlineStr">
        <is>
          <t>Date linked</t>
        </is>
      </c>
      <c r="B5" s="143" t="inlineStr">
        <is>
          <t>Control Center B3 drives Scheduled Today?</t>
        </is>
      </c>
      <c r="C5" s="204" t="n"/>
      <c r="D5" s="205" t="n"/>
    </row>
    <row r="6" ht="15" customHeight="1" s="120">
      <c r="A6" s="142" t="inlineStr">
        <is>
          <t>AM pool &gt; 0</t>
        </is>
      </c>
      <c r="B6" s="143" t="inlineStr">
        <is>
          <t>AM Pool filter A=Y on a normal weekday</t>
        </is>
      </c>
      <c r="C6" s="204" t="n"/>
      <c r="D6" s="205" t="n"/>
    </row>
    <row r="7" ht="15" customHeight="1" s="120">
      <c r="A7" s="142" t="inlineStr">
        <is>
          <t>PM pool &gt; 0</t>
        </is>
      </c>
      <c r="B7" s="143" t="inlineStr">
        <is>
          <t>PM Pool filter A=Y on a normal weekday</t>
        </is>
      </c>
      <c r="C7" s="204" t="n"/>
      <c r="D7" s="205" t="n"/>
    </row>
    <row r="8" ht="15" customHeight="1" s="120">
      <c r="A8" s="142" t="inlineStr">
        <is>
          <t>No days-off on playbook</t>
        </is>
      </c>
      <c r="B8" s="143" t="inlineStr">
        <is>
          <t>Spot-check Days Off vs assignments</t>
        </is>
      </c>
      <c r="C8" s="204" t="n"/>
      <c r="D8" s="205" t="n"/>
    </row>
    <row r="9" ht="15" customHeight="1" s="120">
      <c r="A9" s="142" t="inlineStr">
        <is>
          <t>No absences on playbook</t>
        </is>
      </c>
      <c r="B9" s="143" t="inlineStr">
        <is>
          <t>Approved Absences names not assigned</t>
        </is>
      </c>
      <c r="C9" s="204" t="n"/>
      <c r="D9" s="205" t="n"/>
    </row>
    <row r="10" ht="15" customHeight="1" s="120">
      <c r="A10" s="142" t="inlineStr">
        <is>
          <t>Leads not on normal posts</t>
        </is>
      </c>
      <c r="B10" s="143" t="inlineStr">
        <is>
          <t>Lead=Y only in Leads box</t>
        </is>
      </c>
      <c r="C10" s="204" t="n"/>
      <c r="D10" s="205" t="n"/>
    </row>
    <row r="11" ht="15" customHeight="1" s="120">
      <c r="A11" s="142" t="inlineStr">
        <is>
          <t>AM HARD opens covered</t>
        </is>
      </c>
      <c r="B11" s="143" t="inlineStr">
        <is>
          <t>Required 3:45 posts filled or UNFILLED</t>
        </is>
      </c>
      <c r="C11" s="204" t="n"/>
      <c r="D11" s="205" t="n"/>
    </row>
    <row r="12" ht="15" customHeight="1" s="120">
      <c r="A12" s="142" t="inlineStr">
        <is>
          <t>AM full ops complete</t>
        </is>
      </c>
      <c r="B12" s="143" t="inlineStr">
        <is>
          <t>Right side has names except Not Staffed</t>
        </is>
      </c>
      <c r="C12" s="204" t="n"/>
      <c r="D12" s="205" t="n"/>
    </row>
    <row r="13" ht="15" customHeight="1" s="120">
      <c r="A13" s="142" t="inlineStr">
        <is>
          <t>PM handoff correct</t>
        </is>
      </c>
      <c r="B13" s="143" t="inlineStr">
        <is>
          <t>5:45 full-ops → 2:00; 3:45 stay → 12:15</t>
        </is>
      </c>
      <c r="C13" s="204" t="n"/>
      <c r="D13" s="205" t="n"/>
    </row>
    <row r="14" ht="15" customHeight="1" s="120">
      <c r="A14" s="142" t="inlineStr">
        <is>
          <t>No double-book same period</t>
        </is>
      </c>
      <c r="B14" s="143" t="inlineStr">
        <is>
          <t>See duplicate flags below</t>
        </is>
      </c>
      <c r="C14" s="204" t="n"/>
      <c r="D14" s="205" t="n"/>
    </row>
    <row r="15" ht="15" customHeight="1" s="120">
      <c r="A15" s="142" t="inlineStr">
        <is>
          <t>Client matches playbooks</t>
        </is>
      </c>
      <c r="B15" s="143" t="inlineStr">
        <is>
          <t>Client names = playbook names</t>
        </is>
      </c>
      <c r="C15" s="204" t="n"/>
      <c r="D15" s="205" t="n"/>
    </row>
    <row r="16" ht="15" customHeight="1" s="120">
      <c r="A16" s="142" t="inlineStr">
        <is>
          <t>Surveys switch works</t>
        </is>
      </c>
      <c r="B16" s="143" t="inlineStr">
        <is>
          <t>Control Center B4/B5</t>
        </is>
      </c>
      <c r="C16" s="204" t="n"/>
      <c r="D16" s="205" t="n"/>
    </row>
    <row r="17" ht="15" customHeight="1" s="120">
      <c r="A17" s="142" t="inlineStr">
        <is>
          <t>Print AM width OK</t>
        </is>
      </c>
      <c r="B17" s="143" t="inlineStr">
        <is>
          <t>Print Preview fit width 1 page</t>
        </is>
      </c>
      <c r="C17" s="204" t="n"/>
      <c r="D17" s="205" t="n"/>
    </row>
    <row r="18" ht="15" customHeight="1" s="120">
      <c r="A18" s="142" t="inlineStr">
        <is>
          <t>Print PM width OK</t>
        </is>
      </c>
      <c r="B18" s="143" t="inlineStr">
        <is>
          <t>Print Preview fit width 1 page</t>
        </is>
      </c>
      <c r="C18" s="204" t="n"/>
      <c r="D18" s="205" t="n"/>
    </row>
    <row r="20" ht="15" customHeight="1" s="120">
      <c r="A20" s="141" t="inlineStr">
        <is>
          <t>LIVE COUNTS</t>
        </is>
      </c>
    </row>
    <row r="21" ht="15" customHeight="1" s="120">
      <c r="A21" s="134" t="inlineStr">
        <is>
          <t>Schedule Date</t>
        </is>
      </c>
      <c r="B21" s="206">
        <f>'Control Center'!B3</f>
        <v/>
      </c>
    </row>
    <row r="22" ht="15" customHeight="1" s="120">
      <c r="A22" s="134" t="inlineStr">
        <is>
          <t>AM Eligible</t>
        </is>
      </c>
      <c r="B22" s="134">
        <f>COUNTIF('AM Pool'!A5:A200,"Y")</f>
        <v/>
      </c>
    </row>
    <row r="23" ht="15" customHeight="1" s="120">
      <c r="A23" s="134" t="inlineStr">
        <is>
          <t>PM Eligible</t>
        </is>
      </c>
      <c r="B23" s="134">
        <f>COUNTIF('PM Pool'!A5:A200,"Y")</f>
        <v/>
      </c>
    </row>
    <row r="24" ht="15" customHeight="1" s="120">
      <c r="A24" s="134" t="inlineStr">
        <is>
          <t>AM Surveys</t>
        </is>
      </c>
      <c r="B24" s="134">
        <f>'Control Center'!B4</f>
        <v/>
      </c>
    </row>
    <row r="25" ht="15" customHeight="1" s="120">
      <c r="A25" s="134" t="inlineStr">
        <is>
          <t>PM Surveys</t>
        </is>
      </c>
      <c r="B25" s="134">
        <f>'Control Center'!B5</f>
        <v/>
      </c>
    </row>
    <row r="27" ht="15" customHeight="1" s="120">
      <c r="A27" s="141" t="inlineStr">
        <is>
          <t>DUPLICATE CHECK (snapshot)</t>
        </is>
      </c>
    </row>
    <row r="28" ht="15" customHeight="1" s="120">
      <c r="A28" s="134" t="inlineStr">
        <is>
          <t>AM multi-position</t>
        </is>
      </c>
      <c r="B28" s="207" t="inlineStr">
        <is>
          <t>Khadijah Van Holten: ['IHOP (1)', 'Front Entrance (#1)']; Maryse Camille: ['Front Entrance (#2)', 'Checkpoint – Inside (#1)']; Larry Fuller: ['We Juice It (1)', 'ADA Entrance (1)']; Natasha Carbon: ['KIA (1)', 'North Divesting (#1)']; Kimberly Morrison: ['Hallway Pre-check Overflow (1)', 'Checkpoint – Inside (1)']; Jessika Williams: ['South Restroom (1)', 'Checkpoint – Inside (1)']</t>
        </is>
      </c>
    </row>
    <row r="29" ht="15" customHeight="1" s="120">
      <c r="A29" s="134" t="inlineStr">
        <is>
          <t>PM multi-position</t>
        </is>
      </c>
      <c r="B29" s="208" t="inlineStr">
        <is>
          <t>None — OK</t>
        </is>
      </c>
    </row>
    <row r="31" ht="15" customHeight="1" s="120">
      <c r="A31" s="141" t="inlineStr">
        <is>
          <t>SMOKE-TEST DATES</t>
        </is>
      </c>
    </row>
    <row r="32" ht="15" customHeight="1" s="120">
      <c r="A32" s="203" t="inlineStr">
        <is>
          <t>Scenario</t>
        </is>
      </c>
      <c r="B32" s="203" t="inlineStr">
        <is>
          <t>Date tested</t>
        </is>
      </c>
      <c r="C32" s="203" t="inlineStr">
        <is>
          <t>AM pool</t>
        </is>
      </c>
      <c r="D32" s="203" t="inlineStr">
        <is>
          <t>PM pool</t>
        </is>
      </c>
      <c r="E32" s="203" t="inlineStr">
        <is>
          <t>Issues</t>
        </is>
      </c>
      <c r="F32" s="203" t="inlineStr">
        <is>
          <t>Pass Y/N</t>
        </is>
      </c>
    </row>
    <row r="33" ht="15" customHeight="1" s="120">
      <c r="A33" s="143" t="inlineStr">
        <is>
          <t>Normal weekday</t>
        </is>
      </c>
      <c r="B33" s="204" t="n"/>
      <c r="C33" s="204" t="n"/>
      <c r="D33" s="204" t="n"/>
      <c r="E33" s="204" t="n"/>
      <c r="F33" s="204" t="n"/>
    </row>
    <row r="34" ht="15" customHeight="1" s="120">
      <c r="A34" s="143" t="inlineStr">
        <is>
          <t>Heavy absences day</t>
        </is>
      </c>
      <c r="B34" s="204" t="n"/>
      <c r="C34" s="204" t="n"/>
      <c r="D34" s="204" t="n"/>
      <c r="E34" s="204" t="n"/>
      <c r="F34" s="204" t="n"/>
    </row>
    <row r="35" ht="15" customHeight="1" s="120">
      <c r="A35" s="143" t="inlineStr">
        <is>
          <t>Surveys OFF day</t>
        </is>
      </c>
      <c r="B35" s="204" t="n"/>
      <c r="C35" s="204" t="n"/>
      <c r="D35" s="204" t="n"/>
      <c r="E35" s="204" t="n"/>
      <c r="F35" s="204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6796875" defaultRowHeight="14.25" zeroHeight="0" outlineLevelRow="0"/>
  <cols>
    <col width="12" customWidth="1" style="134" min="1" max="1"/>
    <col width="22" customWidth="1" style="134" min="2" max="2"/>
    <col width="11" customWidth="1" style="134" min="3" max="3"/>
    <col width="7" customWidth="1" style="134" min="4" max="4"/>
    <col width="8" customWidth="1" style="134" min="5" max="5"/>
    <col width="10" customWidth="1" style="134" min="6" max="6"/>
    <col width="11" customWidth="1" style="134" min="7" max="7"/>
    <col width="10" customWidth="1" style="134" min="8" max="8"/>
    <col width="8" customWidth="1" style="134" min="9" max="10"/>
    <col width="14" customWidth="1" style="134" min="11" max="11"/>
    <col width="16" customWidth="1" style="134" min="12" max="12"/>
    <col width="28" customWidth="1" style="134" min="13" max="15"/>
    <col width="12" customWidth="1" style="134" min="16" max="16"/>
  </cols>
  <sheetData>
    <row r="1" ht="17.25" customHeight="1" s="120">
      <c r="A1" s="209" t="inlineStr">
        <is>
          <t>AM AVAILABLE POOL</t>
        </is>
      </c>
    </row>
    <row r="2" ht="15" customHeight="1" s="120">
      <c r="A2" s="178" t="inlineStr">
        <is>
          <t>Filter column A (AM Eligible?) = Y to see only people available for AM assignment today. Names update when Schedule Date changes (Ctrl+Alt+F5).</t>
        </is>
      </c>
    </row>
    <row r="3" ht="15" customHeight="1" s="120">
      <c r="A3" s="210" t="inlineStr">
        <is>
          <t>Compatible with all Excel versions and LibreOffice. Use AutoFilter on row 4.</t>
        </is>
      </c>
    </row>
    <row r="4" ht="23.25" customHeight="1" s="120">
      <c r="A4" s="211" t="inlineStr">
        <is>
          <t>AM Eligible?</t>
        </is>
      </c>
      <c r="B4" s="211" t="inlineStr">
        <is>
          <t>Employee Name</t>
        </is>
      </c>
      <c r="C4" s="211" t="inlineStr">
        <is>
          <t>Shift</t>
        </is>
      </c>
      <c r="D4" s="211" t="inlineStr">
        <is>
          <t>Lead</t>
        </is>
      </c>
      <c r="E4" s="211" t="inlineStr">
        <is>
          <t>Mentor</t>
        </is>
      </c>
      <c r="F4" s="211" t="inlineStr">
        <is>
          <t>Trainee Y/N</t>
        </is>
      </c>
      <c r="G4" s="211" t="inlineStr">
        <is>
          <t>Main Inside</t>
        </is>
      </c>
      <c r="H4" s="211" t="inlineStr">
        <is>
          <t>Info Desk</t>
        </is>
      </c>
      <c r="I4" s="211" t="inlineStr">
        <is>
          <t>Survey</t>
        </is>
      </c>
      <c r="J4" s="211" t="inlineStr">
        <is>
          <t>Divest</t>
        </is>
      </c>
      <c r="K4" s="211" t="inlineStr">
        <is>
          <t>Mobility Restrict</t>
        </is>
      </c>
      <c r="L4" s="211" t="inlineStr">
        <is>
          <t>Assignment Rule</t>
        </is>
      </c>
      <c r="M4" s="211" t="inlineStr">
        <is>
          <t>Fixed Position</t>
        </is>
      </c>
      <c r="N4" s="211" t="inlineStr">
        <is>
          <t>3:45 Opening Pos</t>
        </is>
      </c>
      <c r="O4" s="211" t="inlineStr">
        <is>
          <t>After 5:45 Pos</t>
        </is>
      </c>
      <c r="P4" s="211" t="inlineStr">
        <is>
          <t>Available Today?</t>
        </is>
      </c>
      <c r="R4" s="192" t="inlineStr">
        <is>
          <t>Eligible Count:</t>
        </is>
      </c>
      <c r="S4" s="212">
        <f>COUNTIF(A5:A163,"Y")</f>
        <v/>
      </c>
    </row>
    <row r="5" ht="15" customHeight="1" s="120">
      <c r="A5" s="213">
        <f>IF('Employee Master'!B2="","",IF(AND('Employee Master'!AD2="Y",OR('Employee Master'!C2="3:45 AM",'Employee Master'!C2="5:45 AM"),'Employee Master'!E2="N"),"Y","N"))</f>
        <v/>
      </c>
      <c r="B5" s="213">
        <f>IF('Employee Master'!B2="","",'Employee Master'!B2)</f>
        <v/>
      </c>
      <c r="C5" s="213">
        <f>IF('Employee Master'!B2="","",'Employee Master'!C2)</f>
        <v/>
      </c>
      <c r="D5" s="213">
        <f>IF('Employee Master'!B2="","",'Employee Master'!E2)</f>
        <v/>
      </c>
      <c r="E5" s="213">
        <f>IF('Employee Master'!B2="","",'Employee Master'!F2)</f>
        <v/>
      </c>
      <c r="F5" s="213">
        <f>IF('Employee Master'!B2="","",'Employee Master'!P2)</f>
        <v/>
      </c>
      <c r="G5" s="213">
        <f>IF('Employee Master'!B2="","",'Employee Master'!J2)</f>
        <v/>
      </c>
      <c r="H5" s="213">
        <f>IF('Employee Master'!B2="","",'Employee Master'!I2)</f>
        <v/>
      </c>
      <c r="I5" s="213">
        <f>IF('Employee Master'!B2="","",'Employee Master'!K2)</f>
        <v/>
      </c>
      <c r="J5" s="213">
        <f>IF('Employee Master'!B2="","",'Employee Master'!L2)</f>
        <v/>
      </c>
      <c r="K5" s="213">
        <f>IF('Employee Master'!B2="","",'Employee Master'!T2)</f>
        <v/>
      </c>
      <c r="L5" s="213">
        <f>IF('Employee Master'!B2="","",'Employee Master'!M2)</f>
        <v/>
      </c>
      <c r="M5" s="213">
        <f>IF('Employee Master'!B2="","",'Employee Master'!N2)</f>
        <v/>
      </c>
      <c r="N5" s="213">
        <f>IF('Employee Master'!B2="","",'Employee Master'!R2)</f>
        <v/>
      </c>
      <c r="O5" s="213">
        <f>IF('Employee Master'!B2="","",'Employee Master'!S2)</f>
        <v/>
      </c>
      <c r="P5" s="213">
        <f>IF('Employee Master'!B2="","",'Employee Master'!AD2)</f>
        <v/>
      </c>
    </row>
    <row r="6" ht="15" customHeight="1" s="120">
      <c r="A6" s="213">
        <f>IF('Employee Master'!B3="","",IF(AND('Employee Master'!AD3="Y",OR('Employee Master'!C3="3:45 AM",'Employee Master'!C3="5:45 AM"),'Employee Master'!E3="N"),"Y","N"))</f>
        <v/>
      </c>
      <c r="B6" s="213">
        <f>IF('Employee Master'!B3="","",'Employee Master'!B3)</f>
        <v/>
      </c>
      <c r="C6" s="213">
        <f>IF('Employee Master'!B3="","",'Employee Master'!C3)</f>
        <v/>
      </c>
      <c r="D6" s="213">
        <f>IF('Employee Master'!B3="","",'Employee Master'!E3)</f>
        <v/>
      </c>
      <c r="E6" s="213">
        <f>IF('Employee Master'!B3="","",'Employee Master'!F3)</f>
        <v/>
      </c>
      <c r="F6" s="213">
        <f>IF('Employee Master'!B3="","",'Employee Master'!P3)</f>
        <v/>
      </c>
      <c r="G6" s="213">
        <f>IF('Employee Master'!B3="","",'Employee Master'!J3)</f>
        <v/>
      </c>
      <c r="H6" s="213">
        <f>IF('Employee Master'!B3="","",'Employee Master'!I3)</f>
        <v/>
      </c>
      <c r="I6" s="213">
        <f>IF('Employee Master'!B3="","",'Employee Master'!K3)</f>
        <v/>
      </c>
      <c r="J6" s="213">
        <f>IF('Employee Master'!B3="","",'Employee Master'!L3)</f>
        <v/>
      </c>
      <c r="K6" s="213">
        <f>IF('Employee Master'!B3="","",'Employee Master'!T3)</f>
        <v/>
      </c>
      <c r="L6" s="213">
        <f>IF('Employee Master'!B3="","",'Employee Master'!M3)</f>
        <v/>
      </c>
      <c r="M6" s="213">
        <f>IF('Employee Master'!B3="","",'Employee Master'!N3)</f>
        <v/>
      </c>
      <c r="N6" s="213">
        <f>IF('Employee Master'!B3="","",'Employee Master'!R3)</f>
        <v/>
      </c>
      <c r="O6" s="213">
        <f>IF('Employee Master'!B3="","",'Employee Master'!S3)</f>
        <v/>
      </c>
      <c r="P6" s="213">
        <f>IF('Employee Master'!B3="","",'Employee Master'!AD3)</f>
        <v/>
      </c>
    </row>
    <row r="7" ht="15" customHeight="1" s="120">
      <c r="A7" s="213">
        <f>IF('Employee Master'!B4="","",IF(AND('Employee Master'!AD4="Y",OR('Employee Master'!C4="3:45 AM",'Employee Master'!C4="5:45 AM"),'Employee Master'!E4="N"),"Y","N"))</f>
        <v/>
      </c>
      <c r="B7" s="213">
        <f>IF('Employee Master'!B4="","",'Employee Master'!B4)</f>
        <v/>
      </c>
      <c r="C7" s="213">
        <f>IF('Employee Master'!B4="","",'Employee Master'!C4)</f>
        <v/>
      </c>
      <c r="D7" s="213">
        <f>IF('Employee Master'!B4="","",'Employee Master'!E4)</f>
        <v/>
      </c>
      <c r="E7" s="213">
        <f>IF('Employee Master'!B4="","",'Employee Master'!F4)</f>
        <v/>
      </c>
      <c r="F7" s="213">
        <f>IF('Employee Master'!B4="","",'Employee Master'!P4)</f>
        <v/>
      </c>
      <c r="G7" s="213">
        <f>IF('Employee Master'!B4="","",'Employee Master'!J4)</f>
        <v/>
      </c>
      <c r="H7" s="213">
        <f>IF('Employee Master'!B4="","",'Employee Master'!I4)</f>
        <v/>
      </c>
      <c r="I7" s="213">
        <f>IF('Employee Master'!B4="","",'Employee Master'!K4)</f>
        <v/>
      </c>
      <c r="J7" s="213">
        <f>IF('Employee Master'!B4="","",'Employee Master'!L4)</f>
        <v/>
      </c>
      <c r="K7" s="213">
        <f>IF('Employee Master'!B4="","",'Employee Master'!T4)</f>
        <v/>
      </c>
      <c r="L7" s="213">
        <f>IF('Employee Master'!B4="","",'Employee Master'!M4)</f>
        <v/>
      </c>
      <c r="M7" s="213">
        <f>IF('Employee Master'!B4="","",'Employee Master'!N4)</f>
        <v/>
      </c>
      <c r="N7" s="213">
        <f>IF('Employee Master'!B4="","",'Employee Master'!R4)</f>
        <v/>
      </c>
      <c r="O7" s="213">
        <f>IF('Employee Master'!B4="","",'Employee Master'!S4)</f>
        <v/>
      </c>
      <c r="P7" s="213">
        <f>IF('Employee Master'!B4="","",'Employee Master'!AD4)</f>
        <v/>
      </c>
    </row>
    <row r="8" ht="15" customHeight="1" s="120">
      <c r="A8" s="213">
        <f>IF('Employee Master'!B5="","",IF(AND('Employee Master'!AD5="Y",OR('Employee Master'!C5="3:45 AM",'Employee Master'!C5="5:45 AM"),'Employee Master'!E5="N"),"Y","N"))</f>
        <v/>
      </c>
      <c r="B8" s="213">
        <f>IF('Employee Master'!B5="","",'Employee Master'!B5)</f>
        <v/>
      </c>
      <c r="C8" s="213">
        <f>IF('Employee Master'!B5="","",'Employee Master'!C5)</f>
        <v/>
      </c>
      <c r="D8" s="213">
        <f>IF('Employee Master'!B5="","",'Employee Master'!E5)</f>
        <v/>
      </c>
      <c r="E8" s="213">
        <f>IF('Employee Master'!B5="","",'Employee Master'!F5)</f>
        <v/>
      </c>
      <c r="F8" s="213">
        <f>IF('Employee Master'!B5="","",'Employee Master'!P5)</f>
        <v/>
      </c>
      <c r="G8" s="213">
        <f>IF('Employee Master'!B5="","",'Employee Master'!J5)</f>
        <v/>
      </c>
      <c r="H8" s="213">
        <f>IF('Employee Master'!B5="","",'Employee Master'!I5)</f>
        <v/>
      </c>
      <c r="I8" s="213">
        <f>IF('Employee Master'!B5="","",'Employee Master'!K5)</f>
        <v/>
      </c>
      <c r="J8" s="213">
        <f>IF('Employee Master'!B5="","",'Employee Master'!L5)</f>
        <v/>
      </c>
      <c r="K8" s="213">
        <f>IF('Employee Master'!B5="","",'Employee Master'!T5)</f>
        <v/>
      </c>
      <c r="L8" s="213">
        <f>IF('Employee Master'!B5="","",'Employee Master'!M5)</f>
        <v/>
      </c>
      <c r="M8" s="213">
        <f>IF('Employee Master'!B5="","",'Employee Master'!N5)</f>
        <v/>
      </c>
      <c r="N8" s="213">
        <f>IF('Employee Master'!B5="","",'Employee Master'!R5)</f>
        <v/>
      </c>
      <c r="O8" s="213">
        <f>IF('Employee Master'!B5="","",'Employee Master'!S5)</f>
        <v/>
      </c>
      <c r="P8" s="213">
        <f>IF('Employee Master'!B5="","",'Employee Master'!AD5)</f>
        <v/>
      </c>
    </row>
    <row r="9" ht="15" customHeight="1" s="120">
      <c r="A9" s="213">
        <f>IF('Employee Master'!B6="","",IF(AND('Employee Master'!AD6="Y",OR('Employee Master'!C6="3:45 AM",'Employee Master'!C6="5:45 AM"),'Employee Master'!E6="N"),"Y","N"))</f>
        <v/>
      </c>
      <c r="B9" s="213">
        <f>IF('Employee Master'!B6="","",'Employee Master'!B6)</f>
        <v/>
      </c>
      <c r="C9" s="213">
        <f>IF('Employee Master'!B6="","",'Employee Master'!C6)</f>
        <v/>
      </c>
      <c r="D9" s="213">
        <f>IF('Employee Master'!B6="","",'Employee Master'!E6)</f>
        <v/>
      </c>
      <c r="E9" s="213">
        <f>IF('Employee Master'!B6="","",'Employee Master'!F6)</f>
        <v/>
      </c>
      <c r="F9" s="213">
        <f>IF('Employee Master'!B6="","",'Employee Master'!P6)</f>
        <v/>
      </c>
      <c r="G9" s="213">
        <f>IF('Employee Master'!B6="","",'Employee Master'!J6)</f>
        <v/>
      </c>
      <c r="H9" s="213">
        <f>IF('Employee Master'!B6="","",'Employee Master'!I6)</f>
        <v/>
      </c>
      <c r="I9" s="213">
        <f>IF('Employee Master'!B6="","",'Employee Master'!K6)</f>
        <v/>
      </c>
      <c r="J9" s="213">
        <f>IF('Employee Master'!B6="","",'Employee Master'!L6)</f>
        <v/>
      </c>
      <c r="K9" s="213">
        <f>IF('Employee Master'!B6="","",'Employee Master'!T6)</f>
        <v/>
      </c>
      <c r="L9" s="213">
        <f>IF('Employee Master'!B6="","",'Employee Master'!M6)</f>
        <v/>
      </c>
      <c r="M9" s="213">
        <f>IF('Employee Master'!B6="","",'Employee Master'!N6)</f>
        <v/>
      </c>
      <c r="N9" s="213">
        <f>IF('Employee Master'!B6="","",'Employee Master'!R6)</f>
        <v/>
      </c>
      <c r="O9" s="213">
        <f>IF('Employee Master'!B6="","",'Employee Master'!S6)</f>
        <v/>
      </c>
      <c r="P9" s="213">
        <f>IF('Employee Master'!B6="","",'Employee Master'!AD6)</f>
        <v/>
      </c>
    </row>
    <row r="10" ht="15" customHeight="1" s="120">
      <c r="A10" s="213">
        <f>IF('Employee Master'!B7="","",IF(AND('Employee Master'!AD7="Y",OR('Employee Master'!C7="3:45 AM",'Employee Master'!C7="5:45 AM"),'Employee Master'!E7="N"),"Y","N"))</f>
        <v/>
      </c>
      <c r="B10" s="213">
        <f>IF('Employee Master'!B7="","",'Employee Master'!B7)</f>
        <v/>
      </c>
      <c r="C10" s="213">
        <f>IF('Employee Master'!B7="","",'Employee Master'!C7)</f>
        <v/>
      </c>
      <c r="D10" s="213">
        <f>IF('Employee Master'!B7="","",'Employee Master'!E7)</f>
        <v/>
      </c>
      <c r="E10" s="213">
        <f>IF('Employee Master'!B7="","",'Employee Master'!F7)</f>
        <v/>
      </c>
      <c r="F10" s="213">
        <f>IF('Employee Master'!B7="","",'Employee Master'!P7)</f>
        <v/>
      </c>
      <c r="G10" s="213">
        <f>IF('Employee Master'!B7="","",'Employee Master'!J7)</f>
        <v/>
      </c>
      <c r="H10" s="213">
        <f>IF('Employee Master'!B7="","",'Employee Master'!I7)</f>
        <v/>
      </c>
      <c r="I10" s="213">
        <f>IF('Employee Master'!B7="","",'Employee Master'!K7)</f>
        <v/>
      </c>
      <c r="J10" s="213">
        <f>IF('Employee Master'!B7="","",'Employee Master'!L7)</f>
        <v/>
      </c>
      <c r="K10" s="213">
        <f>IF('Employee Master'!B7="","",'Employee Master'!T7)</f>
        <v/>
      </c>
      <c r="L10" s="213">
        <f>IF('Employee Master'!B7="","",'Employee Master'!M7)</f>
        <v/>
      </c>
      <c r="M10" s="213">
        <f>IF('Employee Master'!B7="","",'Employee Master'!N7)</f>
        <v/>
      </c>
      <c r="N10" s="213">
        <f>IF('Employee Master'!B7="","",'Employee Master'!R7)</f>
        <v/>
      </c>
      <c r="O10" s="213">
        <f>IF('Employee Master'!B7="","",'Employee Master'!S7)</f>
        <v/>
      </c>
      <c r="P10" s="213">
        <f>IF('Employee Master'!B7="","",'Employee Master'!AD7)</f>
        <v/>
      </c>
    </row>
    <row r="11" ht="15" customHeight="1" s="120">
      <c r="A11" s="213">
        <f>IF('Employee Master'!B8="","",IF(AND('Employee Master'!AD8="Y",OR('Employee Master'!C8="3:45 AM",'Employee Master'!C8="5:45 AM"),'Employee Master'!E8="N"),"Y","N"))</f>
        <v/>
      </c>
      <c r="B11" s="213">
        <f>IF('Employee Master'!B8="","",'Employee Master'!B8)</f>
        <v/>
      </c>
      <c r="C11" s="213">
        <f>IF('Employee Master'!B8="","",'Employee Master'!C8)</f>
        <v/>
      </c>
      <c r="D11" s="213">
        <f>IF('Employee Master'!B8="","",'Employee Master'!E8)</f>
        <v/>
      </c>
      <c r="E11" s="213">
        <f>IF('Employee Master'!B8="","",'Employee Master'!F8)</f>
        <v/>
      </c>
      <c r="F11" s="213">
        <f>IF('Employee Master'!B8="","",'Employee Master'!P8)</f>
        <v/>
      </c>
      <c r="G11" s="213">
        <f>IF('Employee Master'!B8="","",'Employee Master'!J8)</f>
        <v/>
      </c>
      <c r="H11" s="213">
        <f>IF('Employee Master'!B8="","",'Employee Master'!I8)</f>
        <v/>
      </c>
      <c r="I11" s="213">
        <f>IF('Employee Master'!B8="","",'Employee Master'!K8)</f>
        <v/>
      </c>
      <c r="J11" s="213">
        <f>IF('Employee Master'!B8="","",'Employee Master'!L8)</f>
        <v/>
      </c>
      <c r="K11" s="213">
        <f>IF('Employee Master'!B8="","",'Employee Master'!T8)</f>
        <v/>
      </c>
      <c r="L11" s="213">
        <f>IF('Employee Master'!B8="","",'Employee Master'!M8)</f>
        <v/>
      </c>
      <c r="M11" s="213">
        <f>IF('Employee Master'!B8="","",'Employee Master'!N8)</f>
        <v/>
      </c>
      <c r="N11" s="213">
        <f>IF('Employee Master'!B8="","",'Employee Master'!R8)</f>
        <v/>
      </c>
      <c r="O11" s="213">
        <f>IF('Employee Master'!B8="","",'Employee Master'!S8)</f>
        <v/>
      </c>
      <c r="P11" s="213">
        <f>IF('Employee Master'!B8="","",'Employee Master'!AD8)</f>
        <v/>
      </c>
    </row>
    <row r="12" ht="15" customHeight="1" s="120">
      <c r="A12" s="213">
        <f>IF('Employee Master'!B9="","",IF(AND('Employee Master'!AD9="Y",OR('Employee Master'!C9="3:45 AM",'Employee Master'!C9="5:45 AM"),'Employee Master'!E9="N"),"Y","N"))</f>
        <v/>
      </c>
      <c r="B12" s="213">
        <f>IF('Employee Master'!B9="","",'Employee Master'!B9)</f>
        <v/>
      </c>
      <c r="C12" s="213">
        <f>IF('Employee Master'!B9="","",'Employee Master'!C9)</f>
        <v/>
      </c>
      <c r="D12" s="213">
        <f>IF('Employee Master'!B9="","",'Employee Master'!E9)</f>
        <v/>
      </c>
      <c r="E12" s="213">
        <f>IF('Employee Master'!B9="","",'Employee Master'!F9)</f>
        <v/>
      </c>
      <c r="F12" s="213">
        <f>IF('Employee Master'!B9="","",'Employee Master'!P9)</f>
        <v/>
      </c>
      <c r="G12" s="213">
        <f>IF('Employee Master'!B9="","",'Employee Master'!J9)</f>
        <v/>
      </c>
      <c r="H12" s="213">
        <f>IF('Employee Master'!B9="","",'Employee Master'!I9)</f>
        <v/>
      </c>
      <c r="I12" s="213">
        <f>IF('Employee Master'!B9="","",'Employee Master'!K9)</f>
        <v/>
      </c>
      <c r="J12" s="213">
        <f>IF('Employee Master'!B9="","",'Employee Master'!L9)</f>
        <v/>
      </c>
      <c r="K12" s="213">
        <f>IF('Employee Master'!B9="","",'Employee Master'!T9)</f>
        <v/>
      </c>
      <c r="L12" s="213">
        <f>IF('Employee Master'!B9="","",'Employee Master'!M9)</f>
        <v/>
      </c>
      <c r="M12" s="213">
        <f>IF('Employee Master'!B9="","",'Employee Master'!N9)</f>
        <v/>
      </c>
      <c r="N12" s="213">
        <f>IF('Employee Master'!B9="","",'Employee Master'!R9)</f>
        <v/>
      </c>
      <c r="O12" s="213">
        <f>IF('Employee Master'!B9="","",'Employee Master'!S9)</f>
        <v/>
      </c>
      <c r="P12" s="213">
        <f>IF('Employee Master'!B9="","",'Employee Master'!AD9)</f>
        <v/>
      </c>
    </row>
    <row r="13" ht="15" customHeight="1" s="120">
      <c r="A13" s="213">
        <f>IF('Employee Master'!B10="","",IF(AND('Employee Master'!AD10="Y",OR('Employee Master'!C10="3:45 AM",'Employee Master'!C10="5:45 AM"),'Employee Master'!E10="N"),"Y","N"))</f>
        <v/>
      </c>
      <c r="B13" s="213">
        <f>IF('Employee Master'!B10="","",'Employee Master'!B10)</f>
        <v/>
      </c>
      <c r="C13" s="213">
        <f>IF('Employee Master'!B10="","",'Employee Master'!C10)</f>
        <v/>
      </c>
      <c r="D13" s="213">
        <f>IF('Employee Master'!B10="","",'Employee Master'!E10)</f>
        <v/>
      </c>
      <c r="E13" s="213">
        <f>IF('Employee Master'!B10="","",'Employee Master'!F10)</f>
        <v/>
      </c>
      <c r="F13" s="213">
        <f>IF('Employee Master'!B10="","",'Employee Master'!P10)</f>
        <v/>
      </c>
      <c r="G13" s="213">
        <f>IF('Employee Master'!B10="","",'Employee Master'!J10)</f>
        <v/>
      </c>
      <c r="H13" s="213">
        <f>IF('Employee Master'!B10="","",'Employee Master'!I10)</f>
        <v/>
      </c>
      <c r="I13" s="213">
        <f>IF('Employee Master'!B10="","",'Employee Master'!K10)</f>
        <v/>
      </c>
      <c r="J13" s="213">
        <f>IF('Employee Master'!B10="","",'Employee Master'!L10)</f>
        <v/>
      </c>
      <c r="K13" s="213">
        <f>IF('Employee Master'!B10="","",'Employee Master'!T10)</f>
        <v/>
      </c>
      <c r="L13" s="213">
        <f>IF('Employee Master'!B10="","",'Employee Master'!M10)</f>
        <v/>
      </c>
      <c r="M13" s="213">
        <f>IF('Employee Master'!B10="","",'Employee Master'!N10)</f>
        <v/>
      </c>
      <c r="N13" s="213">
        <f>IF('Employee Master'!B10="","",'Employee Master'!R10)</f>
        <v/>
      </c>
      <c r="O13" s="213">
        <f>IF('Employee Master'!B10="","",'Employee Master'!S10)</f>
        <v/>
      </c>
      <c r="P13" s="213">
        <f>IF('Employee Master'!B10="","",'Employee Master'!AD10)</f>
        <v/>
      </c>
    </row>
    <row r="14" ht="15" customHeight="1" s="120">
      <c r="A14" s="213">
        <f>IF('Employee Master'!B11="","",IF(AND('Employee Master'!AD11="Y",OR('Employee Master'!C11="3:45 AM",'Employee Master'!C11="5:45 AM"),'Employee Master'!E11="N"),"Y","N"))</f>
        <v/>
      </c>
      <c r="B14" s="213">
        <f>IF('Employee Master'!B11="","",'Employee Master'!B11)</f>
        <v/>
      </c>
      <c r="C14" s="213">
        <f>IF('Employee Master'!B11="","",'Employee Master'!C11)</f>
        <v/>
      </c>
      <c r="D14" s="213">
        <f>IF('Employee Master'!B11="","",'Employee Master'!E11)</f>
        <v/>
      </c>
      <c r="E14" s="213">
        <f>IF('Employee Master'!B11="","",'Employee Master'!F11)</f>
        <v/>
      </c>
      <c r="F14" s="213">
        <f>IF('Employee Master'!B11="","",'Employee Master'!P11)</f>
        <v/>
      </c>
      <c r="G14" s="213">
        <f>IF('Employee Master'!B11="","",'Employee Master'!J11)</f>
        <v/>
      </c>
      <c r="H14" s="213">
        <f>IF('Employee Master'!B11="","",'Employee Master'!I11)</f>
        <v/>
      </c>
      <c r="I14" s="213">
        <f>IF('Employee Master'!B11="","",'Employee Master'!K11)</f>
        <v/>
      </c>
      <c r="J14" s="213">
        <f>IF('Employee Master'!B11="","",'Employee Master'!L11)</f>
        <v/>
      </c>
      <c r="K14" s="213">
        <f>IF('Employee Master'!B11="","",'Employee Master'!T11)</f>
        <v/>
      </c>
      <c r="L14" s="213">
        <f>IF('Employee Master'!B11="","",'Employee Master'!M11)</f>
        <v/>
      </c>
      <c r="M14" s="213">
        <f>IF('Employee Master'!B11="","",'Employee Master'!N11)</f>
        <v/>
      </c>
      <c r="N14" s="213">
        <f>IF('Employee Master'!B11="","",'Employee Master'!R11)</f>
        <v/>
      </c>
      <c r="O14" s="213">
        <f>IF('Employee Master'!B11="","",'Employee Master'!S11)</f>
        <v/>
      </c>
      <c r="P14" s="213">
        <f>IF('Employee Master'!B11="","",'Employee Master'!AD11)</f>
        <v/>
      </c>
    </row>
    <row r="15" ht="15" customHeight="1" s="120">
      <c r="A15" s="213">
        <f>IF('Employee Master'!B12="","",IF(AND('Employee Master'!AD12="Y",OR('Employee Master'!C12="3:45 AM",'Employee Master'!C12="5:45 AM"),'Employee Master'!E12="N"),"Y","N"))</f>
        <v/>
      </c>
      <c r="B15" s="213">
        <f>IF('Employee Master'!B12="","",'Employee Master'!B12)</f>
        <v/>
      </c>
      <c r="C15" s="213">
        <f>IF('Employee Master'!B12="","",'Employee Master'!C12)</f>
        <v/>
      </c>
      <c r="D15" s="213">
        <f>IF('Employee Master'!B12="","",'Employee Master'!E12)</f>
        <v/>
      </c>
      <c r="E15" s="213">
        <f>IF('Employee Master'!B12="","",'Employee Master'!F12)</f>
        <v/>
      </c>
      <c r="F15" s="213">
        <f>IF('Employee Master'!B12="","",'Employee Master'!P12)</f>
        <v/>
      </c>
      <c r="G15" s="213">
        <f>IF('Employee Master'!B12="","",'Employee Master'!J12)</f>
        <v/>
      </c>
      <c r="H15" s="213">
        <f>IF('Employee Master'!B12="","",'Employee Master'!I12)</f>
        <v/>
      </c>
      <c r="I15" s="213">
        <f>IF('Employee Master'!B12="","",'Employee Master'!K12)</f>
        <v/>
      </c>
      <c r="J15" s="213">
        <f>IF('Employee Master'!B12="","",'Employee Master'!L12)</f>
        <v/>
      </c>
      <c r="K15" s="213">
        <f>IF('Employee Master'!B12="","",'Employee Master'!T12)</f>
        <v/>
      </c>
      <c r="L15" s="213">
        <f>IF('Employee Master'!B12="","",'Employee Master'!M12)</f>
        <v/>
      </c>
      <c r="M15" s="213">
        <f>IF('Employee Master'!B12="","",'Employee Master'!N12)</f>
        <v/>
      </c>
      <c r="N15" s="213">
        <f>IF('Employee Master'!B12="","",'Employee Master'!R12)</f>
        <v/>
      </c>
      <c r="O15" s="213">
        <f>IF('Employee Master'!B12="","",'Employee Master'!S12)</f>
        <v/>
      </c>
      <c r="P15" s="213">
        <f>IF('Employee Master'!B12="","",'Employee Master'!AD12)</f>
        <v/>
      </c>
    </row>
    <row r="16" ht="15" customHeight="1" s="120">
      <c r="A16" s="213">
        <f>IF('Employee Master'!B13="","",IF(AND('Employee Master'!AD13="Y",OR('Employee Master'!C13="3:45 AM",'Employee Master'!C13="5:45 AM"),'Employee Master'!E13="N"),"Y","N"))</f>
        <v/>
      </c>
      <c r="B16" s="213">
        <f>IF('Employee Master'!B13="","",'Employee Master'!B13)</f>
        <v/>
      </c>
      <c r="C16" s="213">
        <f>IF('Employee Master'!B13="","",'Employee Master'!C13)</f>
        <v/>
      </c>
      <c r="D16" s="213">
        <f>IF('Employee Master'!B13="","",'Employee Master'!E13)</f>
        <v/>
      </c>
      <c r="E16" s="213">
        <f>IF('Employee Master'!B13="","",'Employee Master'!F13)</f>
        <v/>
      </c>
      <c r="F16" s="213">
        <f>IF('Employee Master'!B13="","",'Employee Master'!P13)</f>
        <v/>
      </c>
      <c r="G16" s="213">
        <f>IF('Employee Master'!B13="","",'Employee Master'!J13)</f>
        <v/>
      </c>
      <c r="H16" s="213">
        <f>IF('Employee Master'!B13="","",'Employee Master'!I13)</f>
        <v/>
      </c>
      <c r="I16" s="213">
        <f>IF('Employee Master'!B13="","",'Employee Master'!K13)</f>
        <v/>
      </c>
      <c r="J16" s="213">
        <f>IF('Employee Master'!B13="","",'Employee Master'!L13)</f>
        <v/>
      </c>
      <c r="K16" s="213">
        <f>IF('Employee Master'!B13="","",'Employee Master'!T13)</f>
        <v/>
      </c>
      <c r="L16" s="213">
        <f>IF('Employee Master'!B13="","",'Employee Master'!M13)</f>
        <v/>
      </c>
      <c r="M16" s="213">
        <f>IF('Employee Master'!B13="","",'Employee Master'!N13)</f>
        <v/>
      </c>
      <c r="N16" s="213">
        <f>IF('Employee Master'!B13="","",'Employee Master'!R13)</f>
        <v/>
      </c>
      <c r="O16" s="213">
        <f>IF('Employee Master'!B13="","",'Employee Master'!S13)</f>
        <v/>
      </c>
      <c r="P16" s="213">
        <f>IF('Employee Master'!B13="","",'Employee Master'!AD13)</f>
        <v/>
      </c>
    </row>
    <row r="17" ht="15" customHeight="1" s="120">
      <c r="A17" s="213">
        <f>IF('Employee Master'!B14="","",IF(AND('Employee Master'!AD14="Y",OR('Employee Master'!C14="3:45 AM",'Employee Master'!C14="5:45 AM"),'Employee Master'!E14="N"),"Y","N"))</f>
        <v/>
      </c>
      <c r="B17" s="213">
        <f>IF('Employee Master'!B14="","",'Employee Master'!B14)</f>
        <v/>
      </c>
      <c r="C17" s="213">
        <f>IF('Employee Master'!B14="","",'Employee Master'!C14)</f>
        <v/>
      </c>
      <c r="D17" s="213">
        <f>IF('Employee Master'!B14="","",'Employee Master'!E14)</f>
        <v/>
      </c>
      <c r="E17" s="213">
        <f>IF('Employee Master'!B14="","",'Employee Master'!F14)</f>
        <v/>
      </c>
      <c r="F17" s="213">
        <f>IF('Employee Master'!B14="","",'Employee Master'!P14)</f>
        <v/>
      </c>
      <c r="G17" s="213">
        <f>IF('Employee Master'!B14="","",'Employee Master'!J14)</f>
        <v/>
      </c>
      <c r="H17" s="213">
        <f>IF('Employee Master'!B14="","",'Employee Master'!I14)</f>
        <v/>
      </c>
      <c r="I17" s="213">
        <f>IF('Employee Master'!B14="","",'Employee Master'!K14)</f>
        <v/>
      </c>
      <c r="J17" s="213">
        <f>IF('Employee Master'!B14="","",'Employee Master'!L14)</f>
        <v/>
      </c>
      <c r="K17" s="213">
        <f>IF('Employee Master'!B14="","",'Employee Master'!T14)</f>
        <v/>
      </c>
      <c r="L17" s="213">
        <f>IF('Employee Master'!B14="","",'Employee Master'!M14)</f>
        <v/>
      </c>
      <c r="M17" s="213">
        <f>IF('Employee Master'!B14="","",'Employee Master'!N14)</f>
        <v/>
      </c>
      <c r="N17" s="213">
        <f>IF('Employee Master'!B14="","",'Employee Master'!R14)</f>
        <v/>
      </c>
      <c r="O17" s="213">
        <f>IF('Employee Master'!B14="","",'Employee Master'!S14)</f>
        <v/>
      </c>
      <c r="P17" s="213">
        <f>IF('Employee Master'!B14="","",'Employee Master'!AD14)</f>
        <v/>
      </c>
    </row>
    <row r="18" ht="15" customHeight="1" s="120">
      <c r="A18" s="213">
        <f>IF('Employee Master'!B15="","",IF(AND('Employee Master'!AD15="Y",OR('Employee Master'!C15="3:45 AM",'Employee Master'!C15="5:45 AM"),'Employee Master'!E15="N"),"Y","N"))</f>
        <v/>
      </c>
      <c r="B18" s="213">
        <f>IF('Employee Master'!B15="","",'Employee Master'!B15)</f>
        <v/>
      </c>
      <c r="C18" s="213">
        <f>IF('Employee Master'!B15="","",'Employee Master'!C15)</f>
        <v/>
      </c>
      <c r="D18" s="213">
        <f>IF('Employee Master'!B15="","",'Employee Master'!E15)</f>
        <v/>
      </c>
      <c r="E18" s="213">
        <f>IF('Employee Master'!B15="","",'Employee Master'!F15)</f>
        <v/>
      </c>
      <c r="F18" s="213">
        <f>IF('Employee Master'!B15="","",'Employee Master'!P15)</f>
        <v/>
      </c>
      <c r="G18" s="213">
        <f>IF('Employee Master'!B15="","",'Employee Master'!J15)</f>
        <v/>
      </c>
      <c r="H18" s="213">
        <f>IF('Employee Master'!B15="","",'Employee Master'!I15)</f>
        <v/>
      </c>
      <c r="I18" s="213">
        <f>IF('Employee Master'!B15="","",'Employee Master'!K15)</f>
        <v/>
      </c>
      <c r="J18" s="213">
        <f>IF('Employee Master'!B15="","",'Employee Master'!L15)</f>
        <v/>
      </c>
      <c r="K18" s="213">
        <f>IF('Employee Master'!B15="","",'Employee Master'!T15)</f>
        <v/>
      </c>
      <c r="L18" s="213">
        <f>IF('Employee Master'!B15="","",'Employee Master'!M15)</f>
        <v/>
      </c>
      <c r="M18" s="213">
        <f>IF('Employee Master'!B15="","",'Employee Master'!N15)</f>
        <v/>
      </c>
      <c r="N18" s="213">
        <f>IF('Employee Master'!B15="","",'Employee Master'!R15)</f>
        <v/>
      </c>
      <c r="O18" s="213">
        <f>IF('Employee Master'!B15="","",'Employee Master'!S15)</f>
        <v/>
      </c>
      <c r="P18" s="213">
        <f>IF('Employee Master'!B15="","",'Employee Master'!AD15)</f>
        <v/>
      </c>
    </row>
    <row r="19" ht="15" customHeight="1" s="120">
      <c r="A19" s="213">
        <f>IF('Employee Master'!B16="","",IF(AND('Employee Master'!AD16="Y",OR('Employee Master'!C16="3:45 AM",'Employee Master'!C16="5:45 AM"),'Employee Master'!E16="N"),"Y","N"))</f>
        <v/>
      </c>
      <c r="B19" s="213">
        <f>IF('Employee Master'!B16="","",'Employee Master'!B16)</f>
        <v/>
      </c>
      <c r="C19" s="213">
        <f>IF('Employee Master'!B16="","",'Employee Master'!C16)</f>
        <v/>
      </c>
      <c r="D19" s="213">
        <f>IF('Employee Master'!B16="","",'Employee Master'!E16)</f>
        <v/>
      </c>
      <c r="E19" s="213">
        <f>IF('Employee Master'!B16="","",'Employee Master'!F16)</f>
        <v/>
      </c>
      <c r="F19" s="213">
        <f>IF('Employee Master'!B16="","",'Employee Master'!P16)</f>
        <v/>
      </c>
      <c r="G19" s="213">
        <f>IF('Employee Master'!B16="","",'Employee Master'!J16)</f>
        <v/>
      </c>
      <c r="H19" s="213">
        <f>IF('Employee Master'!B16="","",'Employee Master'!I16)</f>
        <v/>
      </c>
      <c r="I19" s="213">
        <f>IF('Employee Master'!B16="","",'Employee Master'!K16)</f>
        <v/>
      </c>
      <c r="J19" s="213">
        <f>IF('Employee Master'!B16="","",'Employee Master'!L16)</f>
        <v/>
      </c>
      <c r="K19" s="213">
        <f>IF('Employee Master'!B16="","",'Employee Master'!T16)</f>
        <v/>
      </c>
      <c r="L19" s="213">
        <f>IF('Employee Master'!B16="","",'Employee Master'!M16)</f>
        <v/>
      </c>
      <c r="M19" s="213">
        <f>IF('Employee Master'!B16="","",'Employee Master'!N16)</f>
        <v/>
      </c>
      <c r="N19" s="213">
        <f>IF('Employee Master'!B16="","",'Employee Master'!R16)</f>
        <v/>
      </c>
      <c r="O19" s="213">
        <f>IF('Employee Master'!B16="","",'Employee Master'!S16)</f>
        <v/>
      </c>
      <c r="P19" s="213">
        <f>IF('Employee Master'!B16="","",'Employee Master'!AD16)</f>
        <v/>
      </c>
    </row>
    <row r="20" ht="15" customHeight="1" s="120">
      <c r="A20" s="213">
        <f>IF('Employee Master'!B17="","",IF(AND('Employee Master'!AD17="Y",OR('Employee Master'!C17="3:45 AM",'Employee Master'!C17="5:45 AM"),'Employee Master'!E17="N"),"Y","N"))</f>
        <v/>
      </c>
      <c r="B20" s="213">
        <f>IF('Employee Master'!B17="","",'Employee Master'!B17)</f>
        <v/>
      </c>
      <c r="C20" s="213">
        <f>IF('Employee Master'!B17="","",'Employee Master'!C17)</f>
        <v/>
      </c>
      <c r="D20" s="213">
        <f>IF('Employee Master'!B17="","",'Employee Master'!E17)</f>
        <v/>
      </c>
      <c r="E20" s="213">
        <f>IF('Employee Master'!B17="","",'Employee Master'!F17)</f>
        <v/>
      </c>
      <c r="F20" s="213">
        <f>IF('Employee Master'!B17="","",'Employee Master'!P17)</f>
        <v/>
      </c>
      <c r="G20" s="213">
        <f>IF('Employee Master'!B17="","",'Employee Master'!J17)</f>
        <v/>
      </c>
      <c r="H20" s="213">
        <f>IF('Employee Master'!B17="","",'Employee Master'!I17)</f>
        <v/>
      </c>
      <c r="I20" s="213">
        <f>IF('Employee Master'!B17="","",'Employee Master'!K17)</f>
        <v/>
      </c>
      <c r="J20" s="213">
        <f>IF('Employee Master'!B17="","",'Employee Master'!L17)</f>
        <v/>
      </c>
      <c r="K20" s="213">
        <f>IF('Employee Master'!B17="","",'Employee Master'!T17)</f>
        <v/>
      </c>
      <c r="L20" s="213">
        <f>IF('Employee Master'!B17="","",'Employee Master'!M17)</f>
        <v/>
      </c>
      <c r="M20" s="213">
        <f>IF('Employee Master'!B17="","",'Employee Master'!N17)</f>
        <v/>
      </c>
      <c r="N20" s="213">
        <f>IF('Employee Master'!B17="","",'Employee Master'!R17)</f>
        <v/>
      </c>
      <c r="O20" s="213">
        <f>IF('Employee Master'!B17="","",'Employee Master'!S17)</f>
        <v/>
      </c>
      <c r="P20" s="213">
        <f>IF('Employee Master'!B17="","",'Employee Master'!AD17)</f>
        <v/>
      </c>
    </row>
    <row r="21" ht="15" customHeight="1" s="120">
      <c r="A21" s="213">
        <f>IF('Employee Master'!B18="","",IF(AND('Employee Master'!AD18="Y",OR('Employee Master'!C18="3:45 AM",'Employee Master'!C18="5:45 AM"),'Employee Master'!E18="N"),"Y","N"))</f>
        <v/>
      </c>
      <c r="B21" s="213">
        <f>IF('Employee Master'!B18="","",'Employee Master'!B18)</f>
        <v/>
      </c>
      <c r="C21" s="213">
        <f>IF('Employee Master'!B18="","",'Employee Master'!C18)</f>
        <v/>
      </c>
      <c r="D21" s="213">
        <f>IF('Employee Master'!B18="","",'Employee Master'!E18)</f>
        <v/>
      </c>
      <c r="E21" s="213">
        <f>IF('Employee Master'!B18="","",'Employee Master'!F18)</f>
        <v/>
      </c>
      <c r="F21" s="213">
        <f>IF('Employee Master'!B18="","",'Employee Master'!P18)</f>
        <v/>
      </c>
      <c r="G21" s="213">
        <f>IF('Employee Master'!B18="","",'Employee Master'!J18)</f>
        <v/>
      </c>
      <c r="H21" s="213">
        <f>IF('Employee Master'!B18="","",'Employee Master'!I18)</f>
        <v/>
      </c>
      <c r="I21" s="213">
        <f>IF('Employee Master'!B18="","",'Employee Master'!K18)</f>
        <v/>
      </c>
      <c r="J21" s="213">
        <f>IF('Employee Master'!B18="","",'Employee Master'!L18)</f>
        <v/>
      </c>
      <c r="K21" s="213">
        <f>IF('Employee Master'!B18="","",'Employee Master'!T18)</f>
        <v/>
      </c>
      <c r="L21" s="213">
        <f>IF('Employee Master'!B18="","",'Employee Master'!M18)</f>
        <v/>
      </c>
      <c r="M21" s="213">
        <f>IF('Employee Master'!B18="","",'Employee Master'!N18)</f>
        <v/>
      </c>
      <c r="N21" s="213">
        <f>IF('Employee Master'!B18="","",'Employee Master'!R18)</f>
        <v/>
      </c>
      <c r="O21" s="213">
        <f>IF('Employee Master'!B18="","",'Employee Master'!S18)</f>
        <v/>
      </c>
      <c r="P21" s="213">
        <f>IF('Employee Master'!B18="","",'Employee Master'!AD18)</f>
        <v/>
      </c>
    </row>
    <row r="22" ht="15" customHeight="1" s="120">
      <c r="A22" s="213">
        <f>IF('Employee Master'!B19="","",IF(AND('Employee Master'!AD19="Y",OR('Employee Master'!C19="3:45 AM",'Employee Master'!C19="5:45 AM"),'Employee Master'!E19="N"),"Y","N"))</f>
        <v/>
      </c>
      <c r="B22" s="213">
        <f>IF('Employee Master'!B19="","",'Employee Master'!B19)</f>
        <v/>
      </c>
      <c r="C22" s="213">
        <f>IF('Employee Master'!B19="","",'Employee Master'!C19)</f>
        <v/>
      </c>
      <c r="D22" s="213">
        <f>IF('Employee Master'!B19="","",'Employee Master'!E19)</f>
        <v/>
      </c>
      <c r="E22" s="213">
        <f>IF('Employee Master'!B19="","",'Employee Master'!F19)</f>
        <v/>
      </c>
      <c r="F22" s="213">
        <f>IF('Employee Master'!B19="","",'Employee Master'!P19)</f>
        <v/>
      </c>
      <c r="G22" s="213">
        <f>IF('Employee Master'!B19="","",'Employee Master'!J19)</f>
        <v/>
      </c>
      <c r="H22" s="213">
        <f>IF('Employee Master'!B19="","",'Employee Master'!I19)</f>
        <v/>
      </c>
      <c r="I22" s="213">
        <f>IF('Employee Master'!B19="","",'Employee Master'!K19)</f>
        <v/>
      </c>
      <c r="J22" s="213">
        <f>IF('Employee Master'!B19="","",'Employee Master'!L19)</f>
        <v/>
      </c>
      <c r="K22" s="213">
        <f>IF('Employee Master'!B19="","",'Employee Master'!T19)</f>
        <v/>
      </c>
      <c r="L22" s="213">
        <f>IF('Employee Master'!B19="","",'Employee Master'!M19)</f>
        <v/>
      </c>
      <c r="M22" s="213">
        <f>IF('Employee Master'!B19="","",'Employee Master'!N19)</f>
        <v/>
      </c>
      <c r="N22" s="213">
        <f>IF('Employee Master'!B19="","",'Employee Master'!R19)</f>
        <v/>
      </c>
      <c r="O22" s="213">
        <f>IF('Employee Master'!B19="","",'Employee Master'!S19)</f>
        <v/>
      </c>
      <c r="P22" s="213">
        <f>IF('Employee Master'!B19="","",'Employee Master'!AD19)</f>
        <v/>
      </c>
    </row>
    <row r="23" ht="15" customHeight="1" s="120">
      <c r="A23" s="213">
        <f>IF('Employee Master'!B20="","",IF(AND('Employee Master'!AD20="Y",OR('Employee Master'!C20="3:45 AM",'Employee Master'!C20="5:45 AM"),'Employee Master'!E20="N"),"Y","N"))</f>
        <v/>
      </c>
      <c r="B23" s="213">
        <f>IF('Employee Master'!B20="","",'Employee Master'!B20)</f>
        <v/>
      </c>
      <c r="C23" s="213">
        <f>IF('Employee Master'!B20="","",'Employee Master'!C20)</f>
        <v/>
      </c>
      <c r="D23" s="213">
        <f>IF('Employee Master'!B20="","",'Employee Master'!E20)</f>
        <v/>
      </c>
      <c r="E23" s="213">
        <f>IF('Employee Master'!B20="","",'Employee Master'!F20)</f>
        <v/>
      </c>
      <c r="F23" s="213">
        <f>IF('Employee Master'!B20="","",'Employee Master'!P20)</f>
        <v/>
      </c>
      <c r="G23" s="213">
        <f>IF('Employee Master'!B20="","",'Employee Master'!J20)</f>
        <v/>
      </c>
      <c r="H23" s="213">
        <f>IF('Employee Master'!B20="","",'Employee Master'!I20)</f>
        <v/>
      </c>
      <c r="I23" s="213">
        <f>IF('Employee Master'!B20="","",'Employee Master'!K20)</f>
        <v/>
      </c>
      <c r="J23" s="213">
        <f>IF('Employee Master'!B20="","",'Employee Master'!L20)</f>
        <v/>
      </c>
      <c r="K23" s="213">
        <f>IF('Employee Master'!B20="","",'Employee Master'!T20)</f>
        <v/>
      </c>
      <c r="L23" s="213">
        <f>IF('Employee Master'!B20="","",'Employee Master'!M20)</f>
        <v/>
      </c>
      <c r="M23" s="213">
        <f>IF('Employee Master'!B20="","",'Employee Master'!N20)</f>
        <v/>
      </c>
      <c r="N23" s="213">
        <f>IF('Employee Master'!B20="","",'Employee Master'!R20)</f>
        <v/>
      </c>
      <c r="O23" s="213">
        <f>IF('Employee Master'!B20="","",'Employee Master'!S20)</f>
        <v/>
      </c>
      <c r="P23" s="213">
        <f>IF('Employee Master'!B20="","",'Employee Master'!AD20)</f>
        <v/>
      </c>
    </row>
    <row r="24" ht="15" customHeight="1" s="120">
      <c r="A24" s="213">
        <f>IF('Employee Master'!B21="","",IF(AND('Employee Master'!AD21="Y",OR('Employee Master'!C21="3:45 AM",'Employee Master'!C21="5:45 AM"),'Employee Master'!E21="N"),"Y","N"))</f>
        <v/>
      </c>
      <c r="B24" s="213">
        <f>IF('Employee Master'!B21="","",'Employee Master'!B21)</f>
        <v/>
      </c>
      <c r="C24" s="213">
        <f>IF('Employee Master'!B21="","",'Employee Master'!C21)</f>
        <v/>
      </c>
      <c r="D24" s="213">
        <f>IF('Employee Master'!B21="","",'Employee Master'!E21)</f>
        <v/>
      </c>
      <c r="E24" s="213">
        <f>IF('Employee Master'!B21="","",'Employee Master'!F21)</f>
        <v/>
      </c>
      <c r="F24" s="213">
        <f>IF('Employee Master'!B21="","",'Employee Master'!P21)</f>
        <v/>
      </c>
      <c r="G24" s="213">
        <f>IF('Employee Master'!B21="","",'Employee Master'!J21)</f>
        <v/>
      </c>
      <c r="H24" s="213">
        <f>IF('Employee Master'!B21="","",'Employee Master'!I21)</f>
        <v/>
      </c>
      <c r="I24" s="213">
        <f>IF('Employee Master'!B21="","",'Employee Master'!K21)</f>
        <v/>
      </c>
      <c r="J24" s="213">
        <f>IF('Employee Master'!B21="","",'Employee Master'!L21)</f>
        <v/>
      </c>
      <c r="K24" s="213">
        <f>IF('Employee Master'!B21="","",'Employee Master'!T21)</f>
        <v/>
      </c>
      <c r="L24" s="213">
        <f>IF('Employee Master'!B21="","",'Employee Master'!M21)</f>
        <v/>
      </c>
      <c r="M24" s="213">
        <f>IF('Employee Master'!B21="","",'Employee Master'!N21)</f>
        <v/>
      </c>
      <c r="N24" s="213">
        <f>IF('Employee Master'!B21="","",'Employee Master'!R21)</f>
        <v/>
      </c>
      <c r="O24" s="213">
        <f>IF('Employee Master'!B21="","",'Employee Master'!S21)</f>
        <v/>
      </c>
      <c r="P24" s="213">
        <f>IF('Employee Master'!B21="","",'Employee Master'!AD21)</f>
        <v/>
      </c>
    </row>
    <row r="25" ht="15" customHeight="1" s="120">
      <c r="A25" s="213">
        <f>IF('Employee Master'!B22="","",IF(AND('Employee Master'!AD22="Y",OR('Employee Master'!C22="3:45 AM",'Employee Master'!C22="5:45 AM"),'Employee Master'!E22="N"),"Y","N"))</f>
        <v/>
      </c>
      <c r="B25" s="213">
        <f>IF('Employee Master'!B22="","",'Employee Master'!B22)</f>
        <v/>
      </c>
      <c r="C25" s="213">
        <f>IF('Employee Master'!B22="","",'Employee Master'!C22)</f>
        <v/>
      </c>
      <c r="D25" s="213">
        <f>IF('Employee Master'!B22="","",'Employee Master'!E22)</f>
        <v/>
      </c>
      <c r="E25" s="213">
        <f>IF('Employee Master'!B22="","",'Employee Master'!F22)</f>
        <v/>
      </c>
      <c r="F25" s="213">
        <f>IF('Employee Master'!B22="","",'Employee Master'!P22)</f>
        <v/>
      </c>
      <c r="G25" s="213">
        <f>IF('Employee Master'!B22="","",'Employee Master'!J22)</f>
        <v/>
      </c>
      <c r="H25" s="213">
        <f>IF('Employee Master'!B22="","",'Employee Master'!I22)</f>
        <v/>
      </c>
      <c r="I25" s="213">
        <f>IF('Employee Master'!B22="","",'Employee Master'!K22)</f>
        <v/>
      </c>
      <c r="J25" s="213">
        <f>IF('Employee Master'!B22="","",'Employee Master'!L22)</f>
        <v/>
      </c>
      <c r="K25" s="213">
        <f>IF('Employee Master'!B22="","",'Employee Master'!T22)</f>
        <v/>
      </c>
      <c r="L25" s="213">
        <f>IF('Employee Master'!B22="","",'Employee Master'!M22)</f>
        <v/>
      </c>
      <c r="M25" s="213">
        <f>IF('Employee Master'!B22="","",'Employee Master'!N22)</f>
        <v/>
      </c>
      <c r="N25" s="213">
        <f>IF('Employee Master'!B22="","",'Employee Master'!R22)</f>
        <v/>
      </c>
      <c r="O25" s="213">
        <f>IF('Employee Master'!B22="","",'Employee Master'!S22)</f>
        <v/>
      </c>
      <c r="P25" s="213">
        <f>IF('Employee Master'!B22="","",'Employee Master'!AD22)</f>
        <v/>
      </c>
    </row>
    <row r="26" ht="15" customHeight="1" s="120">
      <c r="A26" s="213">
        <f>IF('Employee Master'!B23="","",IF(AND('Employee Master'!AD23="Y",OR('Employee Master'!C23="3:45 AM",'Employee Master'!C23="5:45 AM"),'Employee Master'!E23="N"),"Y","N"))</f>
        <v/>
      </c>
      <c r="B26" s="213">
        <f>IF('Employee Master'!B23="","",'Employee Master'!B23)</f>
        <v/>
      </c>
      <c r="C26" s="213">
        <f>IF('Employee Master'!B23="","",'Employee Master'!C23)</f>
        <v/>
      </c>
      <c r="D26" s="213">
        <f>IF('Employee Master'!B23="","",'Employee Master'!E23)</f>
        <v/>
      </c>
      <c r="E26" s="213">
        <f>IF('Employee Master'!B23="","",'Employee Master'!F23)</f>
        <v/>
      </c>
      <c r="F26" s="213">
        <f>IF('Employee Master'!B23="","",'Employee Master'!P23)</f>
        <v/>
      </c>
      <c r="G26" s="213">
        <f>IF('Employee Master'!B23="","",'Employee Master'!J23)</f>
        <v/>
      </c>
      <c r="H26" s="213">
        <f>IF('Employee Master'!B23="","",'Employee Master'!I23)</f>
        <v/>
      </c>
      <c r="I26" s="213">
        <f>IF('Employee Master'!B23="","",'Employee Master'!K23)</f>
        <v/>
      </c>
      <c r="J26" s="213">
        <f>IF('Employee Master'!B23="","",'Employee Master'!L23)</f>
        <v/>
      </c>
      <c r="K26" s="213">
        <f>IF('Employee Master'!B23="","",'Employee Master'!T23)</f>
        <v/>
      </c>
      <c r="L26" s="213">
        <f>IF('Employee Master'!B23="","",'Employee Master'!M23)</f>
        <v/>
      </c>
      <c r="M26" s="213">
        <f>IF('Employee Master'!B23="","",'Employee Master'!N23)</f>
        <v/>
      </c>
      <c r="N26" s="213">
        <f>IF('Employee Master'!B23="","",'Employee Master'!R23)</f>
        <v/>
      </c>
      <c r="O26" s="213">
        <f>IF('Employee Master'!B23="","",'Employee Master'!S23)</f>
        <v/>
      </c>
      <c r="P26" s="213">
        <f>IF('Employee Master'!B23="","",'Employee Master'!AD23)</f>
        <v/>
      </c>
    </row>
    <row r="27" ht="15" customHeight="1" s="120">
      <c r="A27" s="213">
        <f>IF('Employee Master'!B24="","",IF(AND('Employee Master'!AD24="Y",OR('Employee Master'!C24="3:45 AM",'Employee Master'!C24="5:45 AM"),'Employee Master'!E24="N"),"Y","N"))</f>
        <v/>
      </c>
      <c r="B27" s="213">
        <f>IF('Employee Master'!B24="","",'Employee Master'!B24)</f>
        <v/>
      </c>
      <c r="C27" s="213">
        <f>IF('Employee Master'!B24="","",'Employee Master'!C24)</f>
        <v/>
      </c>
      <c r="D27" s="213">
        <f>IF('Employee Master'!B24="","",'Employee Master'!E24)</f>
        <v/>
      </c>
      <c r="E27" s="213">
        <f>IF('Employee Master'!B24="","",'Employee Master'!F24)</f>
        <v/>
      </c>
      <c r="F27" s="213">
        <f>IF('Employee Master'!B24="","",'Employee Master'!P24)</f>
        <v/>
      </c>
      <c r="G27" s="213">
        <f>IF('Employee Master'!B24="","",'Employee Master'!J24)</f>
        <v/>
      </c>
      <c r="H27" s="213">
        <f>IF('Employee Master'!B24="","",'Employee Master'!I24)</f>
        <v/>
      </c>
      <c r="I27" s="213">
        <f>IF('Employee Master'!B24="","",'Employee Master'!K24)</f>
        <v/>
      </c>
      <c r="J27" s="213">
        <f>IF('Employee Master'!B24="","",'Employee Master'!L24)</f>
        <v/>
      </c>
      <c r="K27" s="213">
        <f>IF('Employee Master'!B24="","",'Employee Master'!T24)</f>
        <v/>
      </c>
      <c r="L27" s="213">
        <f>IF('Employee Master'!B24="","",'Employee Master'!M24)</f>
        <v/>
      </c>
      <c r="M27" s="213">
        <f>IF('Employee Master'!B24="","",'Employee Master'!N24)</f>
        <v/>
      </c>
      <c r="N27" s="213">
        <f>IF('Employee Master'!B24="","",'Employee Master'!R24)</f>
        <v/>
      </c>
      <c r="O27" s="213">
        <f>IF('Employee Master'!B24="","",'Employee Master'!S24)</f>
        <v/>
      </c>
      <c r="P27" s="213">
        <f>IF('Employee Master'!B24="","",'Employee Master'!AD24)</f>
        <v/>
      </c>
    </row>
    <row r="28" ht="15" customHeight="1" s="120">
      <c r="A28" s="213">
        <f>IF('Employee Master'!B25="","",IF(AND('Employee Master'!AD25="Y",OR('Employee Master'!C25="3:45 AM",'Employee Master'!C25="5:45 AM"),'Employee Master'!E25="N"),"Y","N"))</f>
        <v/>
      </c>
      <c r="B28" s="213">
        <f>IF('Employee Master'!B25="","",'Employee Master'!B25)</f>
        <v/>
      </c>
      <c r="C28" s="213">
        <f>IF('Employee Master'!B25="","",'Employee Master'!C25)</f>
        <v/>
      </c>
      <c r="D28" s="213">
        <f>IF('Employee Master'!B25="","",'Employee Master'!E25)</f>
        <v/>
      </c>
      <c r="E28" s="213">
        <f>IF('Employee Master'!B25="","",'Employee Master'!F25)</f>
        <v/>
      </c>
      <c r="F28" s="213">
        <f>IF('Employee Master'!B25="","",'Employee Master'!P25)</f>
        <v/>
      </c>
      <c r="G28" s="213">
        <f>IF('Employee Master'!B25="","",'Employee Master'!J25)</f>
        <v/>
      </c>
      <c r="H28" s="213">
        <f>IF('Employee Master'!B25="","",'Employee Master'!I25)</f>
        <v/>
      </c>
      <c r="I28" s="213">
        <f>IF('Employee Master'!B25="","",'Employee Master'!K25)</f>
        <v/>
      </c>
      <c r="J28" s="213">
        <f>IF('Employee Master'!B25="","",'Employee Master'!L25)</f>
        <v/>
      </c>
      <c r="K28" s="213">
        <f>IF('Employee Master'!B25="","",'Employee Master'!T25)</f>
        <v/>
      </c>
      <c r="L28" s="213">
        <f>IF('Employee Master'!B25="","",'Employee Master'!M25)</f>
        <v/>
      </c>
      <c r="M28" s="213">
        <f>IF('Employee Master'!B25="","",'Employee Master'!N25)</f>
        <v/>
      </c>
      <c r="N28" s="213">
        <f>IF('Employee Master'!B25="","",'Employee Master'!R25)</f>
        <v/>
      </c>
      <c r="O28" s="213">
        <f>IF('Employee Master'!B25="","",'Employee Master'!S25)</f>
        <v/>
      </c>
      <c r="P28" s="213">
        <f>IF('Employee Master'!B25="","",'Employee Master'!AD25)</f>
        <v/>
      </c>
    </row>
    <row r="29" ht="15" customHeight="1" s="120">
      <c r="A29" s="213">
        <f>IF('Employee Master'!B26="","",IF(AND('Employee Master'!AD26="Y",OR('Employee Master'!C26="3:45 AM",'Employee Master'!C26="5:45 AM"),'Employee Master'!E26="N"),"Y","N"))</f>
        <v/>
      </c>
      <c r="B29" s="213">
        <f>IF('Employee Master'!B26="","",'Employee Master'!B26)</f>
        <v/>
      </c>
      <c r="C29" s="213">
        <f>IF('Employee Master'!B26="","",'Employee Master'!C26)</f>
        <v/>
      </c>
      <c r="D29" s="213">
        <f>IF('Employee Master'!B26="","",'Employee Master'!E26)</f>
        <v/>
      </c>
      <c r="E29" s="213">
        <f>IF('Employee Master'!B26="","",'Employee Master'!F26)</f>
        <v/>
      </c>
      <c r="F29" s="213">
        <f>IF('Employee Master'!B26="","",'Employee Master'!P26)</f>
        <v/>
      </c>
      <c r="G29" s="213">
        <f>IF('Employee Master'!B26="","",'Employee Master'!J26)</f>
        <v/>
      </c>
      <c r="H29" s="213">
        <f>IF('Employee Master'!B26="","",'Employee Master'!I26)</f>
        <v/>
      </c>
      <c r="I29" s="213">
        <f>IF('Employee Master'!B26="","",'Employee Master'!K26)</f>
        <v/>
      </c>
      <c r="J29" s="213">
        <f>IF('Employee Master'!B26="","",'Employee Master'!L26)</f>
        <v/>
      </c>
      <c r="K29" s="213">
        <f>IF('Employee Master'!B26="","",'Employee Master'!T26)</f>
        <v/>
      </c>
      <c r="L29" s="213">
        <f>IF('Employee Master'!B26="","",'Employee Master'!M26)</f>
        <v/>
      </c>
      <c r="M29" s="213">
        <f>IF('Employee Master'!B26="","",'Employee Master'!N26)</f>
        <v/>
      </c>
      <c r="N29" s="213">
        <f>IF('Employee Master'!B26="","",'Employee Master'!R26)</f>
        <v/>
      </c>
      <c r="O29" s="213">
        <f>IF('Employee Master'!B26="","",'Employee Master'!S26)</f>
        <v/>
      </c>
      <c r="P29" s="213">
        <f>IF('Employee Master'!B26="","",'Employee Master'!AD26)</f>
        <v/>
      </c>
    </row>
    <row r="30" ht="15" customHeight="1" s="120">
      <c r="A30" s="213">
        <f>IF('Employee Master'!B27="","",IF(AND('Employee Master'!AD27="Y",OR('Employee Master'!C27="3:45 AM",'Employee Master'!C27="5:45 AM"),'Employee Master'!E27="N"),"Y","N"))</f>
        <v/>
      </c>
      <c r="B30" s="213">
        <f>IF('Employee Master'!B27="","",'Employee Master'!B27)</f>
        <v/>
      </c>
      <c r="C30" s="213">
        <f>IF('Employee Master'!B27="","",'Employee Master'!C27)</f>
        <v/>
      </c>
      <c r="D30" s="213">
        <f>IF('Employee Master'!B27="","",'Employee Master'!E27)</f>
        <v/>
      </c>
      <c r="E30" s="213">
        <f>IF('Employee Master'!B27="","",'Employee Master'!F27)</f>
        <v/>
      </c>
      <c r="F30" s="213">
        <f>IF('Employee Master'!B27="","",'Employee Master'!P27)</f>
        <v/>
      </c>
      <c r="G30" s="213">
        <f>IF('Employee Master'!B27="","",'Employee Master'!J27)</f>
        <v/>
      </c>
      <c r="H30" s="213">
        <f>IF('Employee Master'!B27="","",'Employee Master'!I27)</f>
        <v/>
      </c>
      <c r="I30" s="213">
        <f>IF('Employee Master'!B27="","",'Employee Master'!K27)</f>
        <v/>
      </c>
      <c r="J30" s="213">
        <f>IF('Employee Master'!B27="","",'Employee Master'!L27)</f>
        <v/>
      </c>
      <c r="K30" s="213">
        <f>IF('Employee Master'!B27="","",'Employee Master'!T27)</f>
        <v/>
      </c>
      <c r="L30" s="213">
        <f>IF('Employee Master'!B27="","",'Employee Master'!M27)</f>
        <v/>
      </c>
      <c r="M30" s="213">
        <f>IF('Employee Master'!B27="","",'Employee Master'!N27)</f>
        <v/>
      </c>
      <c r="N30" s="213">
        <f>IF('Employee Master'!B27="","",'Employee Master'!R27)</f>
        <v/>
      </c>
      <c r="O30" s="213">
        <f>IF('Employee Master'!B27="","",'Employee Master'!S27)</f>
        <v/>
      </c>
      <c r="P30" s="213">
        <f>IF('Employee Master'!B27="","",'Employee Master'!AD27)</f>
        <v/>
      </c>
    </row>
    <row r="31" ht="15" customHeight="1" s="120">
      <c r="A31" s="213">
        <f>IF('Employee Master'!B28="","",IF(AND('Employee Master'!AD28="Y",OR('Employee Master'!C28="3:45 AM",'Employee Master'!C28="5:45 AM"),'Employee Master'!E28="N"),"Y","N"))</f>
        <v/>
      </c>
      <c r="B31" s="213">
        <f>IF('Employee Master'!B28="","",'Employee Master'!B28)</f>
        <v/>
      </c>
      <c r="C31" s="213">
        <f>IF('Employee Master'!B28="","",'Employee Master'!C28)</f>
        <v/>
      </c>
      <c r="D31" s="213">
        <f>IF('Employee Master'!B28="","",'Employee Master'!E28)</f>
        <v/>
      </c>
      <c r="E31" s="213">
        <f>IF('Employee Master'!B28="","",'Employee Master'!F28)</f>
        <v/>
      </c>
      <c r="F31" s="213">
        <f>IF('Employee Master'!B28="","",'Employee Master'!P28)</f>
        <v/>
      </c>
      <c r="G31" s="213">
        <f>IF('Employee Master'!B28="","",'Employee Master'!J28)</f>
        <v/>
      </c>
      <c r="H31" s="213">
        <f>IF('Employee Master'!B28="","",'Employee Master'!I28)</f>
        <v/>
      </c>
      <c r="I31" s="213">
        <f>IF('Employee Master'!B28="","",'Employee Master'!K28)</f>
        <v/>
      </c>
      <c r="J31" s="213">
        <f>IF('Employee Master'!B28="","",'Employee Master'!L28)</f>
        <v/>
      </c>
      <c r="K31" s="213">
        <f>IF('Employee Master'!B28="","",'Employee Master'!T28)</f>
        <v/>
      </c>
      <c r="L31" s="213">
        <f>IF('Employee Master'!B28="","",'Employee Master'!M28)</f>
        <v/>
      </c>
      <c r="M31" s="213">
        <f>IF('Employee Master'!B28="","",'Employee Master'!N28)</f>
        <v/>
      </c>
      <c r="N31" s="213">
        <f>IF('Employee Master'!B28="","",'Employee Master'!R28)</f>
        <v/>
      </c>
      <c r="O31" s="213">
        <f>IF('Employee Master'!B28="","",'Employee Master'!S28)</f>
        <v/>
      </c>
      <c r="P31" s="213">
        <f>IF('Employee Master'!B28="","",'Employee Master'!AD28)</f>
        <v/>
      </c>
    </row>
    <row r="32" ht="15" customHeight="1" s="120">
      <c r="A32" s="213">
        <f>IF('Employee Master'!B29="","",IF(AND('Employee Master'!AD29="Y",OR('Employee Master'!C29="3:45 AM",'Employee Master'!C29="5:45 AM"),'Employee Master'!E29="N"),"Y","N"))</f>
        <v/>
      </c>
      <c r="B32" s="213">
        <f>IF('Employee Master'!B29="","",'Employee Master'!B29)</f>
        <v/>
      </c>
      <c r="C32" s="213">
        <f>IF('Employee Master'!B29="","",'Employee Master'!C29)</f>
        <v/>
      </c>
      <c r="D32" s="213">
        <f>IF('Employee Master'!B29="","",'Employee Master'!E29)</f>
        <v/>
      </c>
      <c r="E32" s="213">
        <f>IF('Employee Master'!B29="","",'Employee Master'!F29)</f>
        <v/>
      </c>
      <c r="F32" s="213">
        <f>IF('Employee Master'!B29="","",'Employee Master'!P29)</f>
        <v/>
      </c>
      <c r="G32" s="213">
        <f>IF('Employee Master'!B29="","",'Employee Master'!J29)</f>
        <v/>
      </c>
      <c r="H32" s="213">
        <f>IF('Employee Master'!B29="","",'Employee Master'!I29)</f>
        <v/>
      </c>
      <c r="I32" s="213">
        <f>IF('Employee Master'!B29="","",'Employee Master'!K29)</f>
        <v/>
      </c>
      <c r="J32" s="213">
        <f>IF('Employee Master'!B29="","",'Employee Master'!L29)</f>
        <v/>
      </c>
      <c r="K32" s="213">
        <f>IF('Employee Master'!B29="","",'Employee Master'!T29)</f>
        <v/>
      </c>
      <c r="L32" s="213">
        <f>IF('Employee Master'!B29="","",'Employee Master'!M29)</f>
        <v/>
      </c>
      <c r="M32" s="213">
        <f>IF('Employee Master'!B29="","",'Employee Master'!N29)</f>
        <v/>
      </c>
      <c r="N32" s="213">
        <f>IF('Employee Master'!B29="","",'Employee Master'!R29)</f>
        <v/>
      </c>
      <c r="O32" s="213">
        <f>IF('Employee Master'!B29="","",'Employee Master'!S29)</f>
        <v/>
      </c>
      <c r="P32" s="213">
        <f>IF('Employee Master'!B29="","",'Employee Master'!AD29)</f>
        <v/>
      </c>
    </row>
    <row r="33" ht="15" customHeight="1" s="120">
      <c r="A33" s="213">
        <f>IF('Employee Master'!B30="","",IF(AND('Employee Master'!AD30="Y",OR('Employee Master'!C30="3:45 AM",'Employee Master'!C30="5:45 AM"),'Employee Master'!E30="N"),"Y","N"))</f>
        <v/>
      </c>
      <c r="B33" s="213">
        <f>IF('Employee Master'!B30="","",'Employee Master'!B30)</f>
        <v/>
      </c>
      <c r="C33" s="213">
        <f>IF('Employee Master'!B30="","",'Employee Master'!C30)</f>
        <v/>
      </c>
      <c r="D33" s="213">
        <f>IF('Employee Master'!B30="","",'Employee Master'!E30)</f>
        <v/>
      </c>
      <c r="E33" s="213">
        <f>IF('Employee Master'!B30="","",'Employee Master'!F30)</f>
        <v/>
      </c>
      <c r="F33" s="213">
        <f>IF('Employee Master'!B30="","",'Employee Master'!P30)</f>
        <v/>
      </c>
      <c r="G33" s="213">
        <f>IF('Employee Master'!B30="","",'Employee Master'!J30)</f>
        <v/>
      </c>
      <c r="H33" s="213">
        <f>IF('Employee Master'!B30="","",'Employee Master'!I30)</f>
        <v/>
      </c>
      <c r="I33" s="213">
        <f>IF('Employee Master'!B30="","",'Employee Master'!K30)</f>
        <v/>
      </c>
      <c r="J33" s="213">
        <f>IF('Employee Master'!B30="","",'Employee Master'!L30)</f>
        <v/>
      </c>
      <c r="K33" s="213">
        <f>IF('Employee Master'!B30="","",'Employee Master'!T30)</f>
        <v/>
      </c>
      <c r="L33" s="213">
        <f>IF('Employee Master'!B30="","",'Employee Master'!M30)</f>
        <v/>
      </c>
      <c r="M33" s="213">
        <f>IF('Employee Master'!B30="","",'Employee Master'!N30)</f>
        <v/>
      </c>
      <c r="N33" s="213">
        <f>IF('Employee Master'!B30="","",'Employee Master'!R30)</f>
        <v/>
      </c>
      <c r="O33" s="213">
        <f>IF('Employee Master'!B30="","",'Employee Master'!S30)</f>
        <v/>
      </c>
      <c r="P33" s="213">
        <f>IF('Employee Master'!B30="","",'Employee Master'!AD30)</f>
        <v/>
      </c>
    </row>
    <row r="34" ht="15" customHeight="1" s="120">
      <c r="A34" s="213">
        <f>IF('Employee Master'!B31="","",IF(AND('Employee Master'!AD31="Y",OR('Employee Master'!C31="3:45 AM",'Employee Master'!C31="5:45 AM"),'Employee Master'!E31="N"),"Y","N"))</f>
        <v/>
      </c>
      <c r="B34" s="213">
        <f>IF('Employee Master'!B31="","",'Employee Master'!B31)</f>
        <v/>
      </c>
      <c r="C34" s="213">
        <f>IF('Employee Master'!B31="","",'Employee Master'!C31)</f>
        <v/>
      </c>
      <c r="D34" s="213">
        <f>IF('Employee Master'!B31="","",'Employee Master'!E31)</f>
        <v/>
      </c>
      <c r="E34" s="213">
        <f>IF('Employee Master'!B31="","",'Employee Master'!F31)</f>
        <v/>
      </c>
      <c r="F34" s="213">
        <f>IF('Employee Master'!B31="","",'Employee Master'!P31)</f>
        <v/>
      </c>
      <c r="G34" s="213">
        <f>IF('Employee Master'!B31="","",'Employee Master'!J31)</f>
        <v/>
      </c>
      <c r="H34" s="213">
        <f>IF('Employee Master'!B31="","",'Employee Master'!I31)</f>
        <v/>
      </c>
      <c r="I34" s="213">
        <f>IF('Employee Master'!B31="","",'Employee Master'!K31)</f>
        <v/>
      </c>
      <c r="J34" s="213">
        <f>IF('Employee Master'!B31="","",'Employee Master'!L31)</f>
        <v/>
      </c>
      <c r="K34" s="213">
        <f>IF('Employee Master'!B31="","",'Employee Master'!T31)</f>
        <v/>
      </c>
      <c r="L34" s="213">
        <f>IF('Employee Master'!B31="","",'Employee Master'!M31)</f>
        <v/>
      </c>
      <c r="M34" s="213">
        <f>IF('Employee Master'!B31="","",'Employee Master'!N31)</f>
        <v/>
      </c>
      <c r="N34" s="213">
        <f>IF('Employee Master'!B31="","",'Employee Master'!R31)</f>
        <v/>
      </c>
      <c r="O34" s="213">
        <f>IF('Employee Master'!B31="","",'Employee Master'!S31)</f>
        <v/>
      </c>
      <c r="P34" s="213">
        <f>IF('Employee Master'!B31="","",'Employee Master'!AD31)</f>
        <v/>
      </c>
    </row>
    <row r="35" ht="15" customHeight="1" s="120">
      <c r="A35" s="213">
        <f>IF('Employee Master'!B32="","",IF(AND('Employee Master'!AD32="Y",OR('Employee Master'!C32="3:45 AM",'Employee Master'!C32="5:45 AM"),'Employee Master'!E32="N"),"Y","N"))</f>
        <v/>
      </c>
      <c r="B35" s="213">
        <f>IF('Employee Master'!B32="","",'Employee Master'!B32)</f>
        <v/>
      </c>
      <c r="C35" s="213">
        <f>IF('Employee Master'!B32="","",'Employee Master'!C32)</f>
        <v/>
      </c>
      <c r="D35" s="213">
        <f>IF('Employee Master'!B32="","",'Employee Master'!E32)</f>
        <v/>
      </c>
      <c r="E35" s="213">
        <f>IF('Employee Master'!B32="","",'Employee Master'!F32)</f>
        <v/>
      </c>
      <c r="F35" s="213">
        <f>IF('Employee Master'!B32="","",'Employee Master'!P32)</f>
        <v/>
      </c>
      <c r="G35" s="213">
        <f>IF('Employee Master'!B32="","",'Employee Master'!J32)</f>
        <v/>
      </c>
      <c r="H35" s="213">
        <f>IF('Employee Master'!B32="","",'Employee Master'!I32)</f>
        <v/>
      </c>
      <c r="I35" s="213">
        <f>IF('Employee Master'!B32="","",'Employee Master'!K32)</f>
        <v/>
      </c>
      <c r="J35" s="213">
        <f>IF('Employee Master'!B32="","",'Employee Master'!L32)</f>
        <v/>
      </c>
      <c r="K35" s="213">
        <f>IF('Employee Master'!B32="","",'Employee Master'!T32)</f>
        <v/>
      </c>
      <c r="L35" s="213">
        <f>IF('Employee Master'!B32="","",'Employee Master'!M32)</f>
        <v/>
      </c>
      <c r="M35" s="213">
        <f>IF('Employee Master'!B32="","",'Employee Master'!N32)</f>
        <v/>
      </c>
      <c r="N35" s="213">
        <f>IF('Employee Master'!B32="","",'Employee Master'!R32)</f>
        <v/>
      </c>
      <c r="O35" s="213">
        <f>IF('Employee Master'!B32="","",'Employee Master'!S32)</f>
        <v/>
      </c>
      <c r="P35" s="213">
        <f>IF('Employee Master'!B32="","",'Employee Master'!AD32)</f>
        <v/>
      </c>
    </row>
    <row r="36" ht="15" customHeight="1" s="120">
      <c r="A36" s="213">
        <f>IF('Employee Master'!B33="","",IF(AND('Employee Master'!AD33="Y",OR('Employee Master'!C33="3:45 AM",'Employee Master'!C33="5:45 AM"),'Employee Master'!E33="N"),"Y","N"))</f>
        <v/>
      </c>
      <c r="B36" s="213">
        <f>IF('Employee Master'!B33="","",'Employee Master'!B33)</f>
        <v/>
      </c>
      <c r="C36" s="213">
        <f>IF('Employee Master'!B33="","",'Employee Master'!C33)</f>
        <v/>
      </c>
      <c r="D36" s="213">
        <f>IF('Employee Master'!B33="","",'Employee Master'!E33)</f>
        <v/>
      </c>
      <c r="E36" s="213">
        <f>IF('Employee Master'!B33="","",'Employee Master'!F33)</f>
        <v/>
      </c>
      <c r="F36" s="213">
        <f>IF('Employee Master'!B33="","",'Employee Master'!P33)</f>
        <v/>
      </c>
      <c r="G36" s="213">
        <f>IF('Employee Master'!B33="","",'Employee Master'!J33)</f>
        <v/>
      </c>
      <c r="H36" s="213">
        <f>IF('Employee Master'!B33="","",'Employee Master'!I33)</f>
        <v/>
      </c>
      <c r="I36" s="213">
        <f>IF('Employee Master'!B33="","",'Employee Master'!K33)</f>
        <v/>
      </c>
      <c r="J36" s="213">
        <f>IF('Employee Master'!B33="","",'Employee Master'!L33)</f>
        <v/>
      </c>
      <c r="K36" s="213">
        <f>IF('Employee Master'!B33="","",'Employee Master'!T33)</f>
        <v/>
      </c>
      <c r="L36" s="213">
        <f>IF('Employee Master'!B33="","",'Employee Master'!M33)</f>
        <v/>
      </c>
      <c r="M36" s="213">
        <f>IF('Employee Master'!B33="","",'Employee Master'!N33)</f>
        <v/>
      </c>
      <c r="N36" s="213">
        <f>IF('Employee Master'!B33="","",'Employee Master'!R33)</f>
        <v/>
      </c>
      <c r="O36" s="213">
        <f>IF('Employee Master'!B33="","",'Employee Master'!S33)</f>
        <v/>
      </c>
      <c r="P36" s="213">
        <f>IF('Employee Master'!B33="","",'Employee Master'!AD33)</f>
        <v/>
      </c>
    </row>
    <row r="37" ht="15" customHeight="1" s="120">
      <c r="A37" s="213">
        <f>IF('Employee Master'!B34="","",IF(AND('Employee Master'!AD34="Y",OR('Employee Master'!C34="3:45 AM",'Employee Master'!C34="5:45 AM"),'Employee Master'!E34="N"),"Y","N"))</f>
        <v/>
      </c>
      <c r="B37" s="213">
        <f>IF('Employee Master'!B34="","",'Employee Master'!B34)</f>
        <v/>
      </c>
      <c r="C37" s="213">
        <f>IF('Employee Master'!B34="","",'Employee Master'!C34)</f>
        <v/>
      </c>
      <c r="D37" s="213">
        <f>IF('Employee Master'!B34="","",'Employee Master'!E34)</f>
        <v/>
      </c>
      <c r="E37" s="213">
        <f>IF('Employee Master'!B34="","",'Employee Master'!F34)</f>
        <v/>
      </c>
      <c r="F37" s="213">
        <f>IF('Employee Master'!B34="","",'Employee Master'!P34)</f>
        <v/>
      </c>
      <c r="G37" s="213">
        <f>IF('Employee Master'!B34="","",'Employee Master'!J34)</f>
        <v/>
      </c>
      <c r="H37" s="213">
        <f>IF('Employee Master'!B34="","",'Employee Master'!I34)</f>
        <v/>
      </c>
      <c r="I37" s="213">
        <f>IF('Employee Master'!B34="","",'Employee Master'!K34)</f>
        <v/>
      </c>
      <c r="J37" s="213">
        <f>IF('Employee Master'!B34="","",'Employee Master'!L34)</f>
        <v/>
      </c>
      <c r="K37" s="213">
        <f>IF('Employee Master'!B34="","",'Employee Master'!T34)</f>
        <v/>
      </c>
      <c r="L37" s="213">
        <f>IF('Employee Master'!B34="","",'Employee Master'!M34)</f>
        <v/>
      </c>
      <c r="M37" s="213">
        <f>IF('Employee Master'!B34="","",'Employee Master'!N34)</f>
        <v/>
      </c>
      <c r="N37" s="213">
        <f>IF('Employee Master'!B34="","",'Employee Master'!R34)</f>
        <v/>
      </c>
      <c r="O37" s="213">
        <f>IF('Employee Master'!B34="","",'Employee Master'!S34)</f>
        <v/>
      </c>
      <c r="P37" s="213">
        <f>IF('Employee Master'!B34="","",'Employee Master'!AD34)</f>
        <v/>
      </c>
    </row>
    <row r="38" ht="15" customHeight="1" s="120">
      <c r="A38" s="213">
        <f>IF('Employee Master'!B35="","",IF(AND('Employee Master'!AD35="Y",OR('Employee Master'!C35="3:45 AM",'Employee Master'!C35="5:45 AM"),'Employee Master'!E35="N"),"Y","N"))</f>
        <v/>
      </c>
      <c r="B38" s="213">
        <f>IF('Employee Master'!B35="","",'Employee Master'!B35)</f>
        <v/>
      </c>
      <c r="C38" s="213">
        <f>IF('Employee Master'!B35="","",'Employee Master'!C35)</f>
        <v/>
      </c>
      <c r="D38" s="213">
        <f>IF('Employee Master'!B35="","",'Employee Master'!E35)</f>
        <v/>
      </c>
      <c r="E38" s="213">
        <f>IF('Employee Master'!B35="","",'Employee Master'!F35)</f>
        <v/>
      </c>
      <c r="F38" s="213">
        <f>IF('Employee Master'!B35="","",'Employee Master'!P35)</f>
        <v/>
      </c>
      <c r="G38" s="213">
        <f>IF('Employee Master'!B35="","",'Employee Master'!J35)</f>
        <v/>
      </c>
      <c r="H38" s="213">
        <f>IF('Employee Master'!B35="","",'Employee Master'!I35)</f>
        <v/>
      </c>
      <c r="I38" s="213">
        <f>IF('Employee Master'!B35="","",'Employee Master'!K35)</f>
        <v/>
      </c>
      <c r="J38" s="213">
        <f>IF('Employee Master'!B35="","",'Employee Master'!L35)</f>
        <v/>
      </c>
      <c r="K38" s="213">
        <f>IF('Employee Master'!B35="","",'Employee Master'!T35)</f>
        <v/>
      </c>
      <c r="L38" s="213">
        <f>IF('Employee Master'!B35="","",'Employee Master'!M35)</f>
        <v/>
      </c>
      <c r="M38" s="213">
        <f>IF('Employee Master'!B35="","",'Employee Master'!N35)</f>
        <v/>
      </c>
      <c r="N38" s="213">
        <f>IF('Employee Master'!B35="","",'Employee Master'!R35)</f>
        <v/>
      </c>
      <c r="O38" s="213">
        <f>IF('Employee Master'!B35="","",'Employee Master'!S35)</f>
        <v/>
      </c>
      <c r="P38" s="213">
        <f>IF('Employee Master'!B35="","",'Employee Master'!AD35)</f>
        <v/>
      </c>
    </row>
    <row r="39" ht="15" customHeight="1" s="120">
      <c r="A39" s="213">
        <f>IF('Employee Master'!B36="","",IF(AND('Employee Master'!AD36="Y",OR('Employee Master'!C36="3:45 AM",'Employee Master'!C36="5:45 AM"),'Employee Master'!E36="N"),"Y","N"))</f>
        <v/>
      </c>
      <c r="B39" s="213">
        <f>IF('Employee Master'!B36="","",'Employee Master'!B36)</f>
        <v/>
      </c>
      <c r="C39" s="213">
        <f>IF('Employee Master'!B36="","",'Employee Master'!C36)</f>
        <v/>
      </c>
      <c r="D39" s="213">
        <f>IF('Employee Master'!B36="","",'Employee Master'!E36)</f>
        <v/>
      </c>
      <c r="E39" s="213">
        <f>IF('Employee Master'!B36="","",'Employee Master'!F36)</f>
        <v/>
      </c>
      <c r="F39" s="213">
        <f>IF('Employee Master'!B36="","",'Employee Master'!P36)</f>
        <v/>
      </c>
      <c r="G39" s="213">
        <f>IF('Employee Master'!B36="","",'Employee Master'!J36)</f>
        <v/>
      </c>
      <c r="H39" s="213">
        <f>IF('Employee Master'!B36="","",'Employee Master'!I36)</f>
        <v/>
      </c>
      <c r="I39" s="213">
        <f>IF('Employee Master'!B36="","",'Employee Master'!K36)</f>
        <v/>
      </c>
      <c r="J39" s="213">
        <f>IF('Employee Master'!B36="","",'Employee Master'!L36)</f>
        <v/>
      </c>
      <c r="K39" s="213">
        <f>IF('Employee Master'!B36="","",'Employee Master'!T36)</f>
        <v/>
      </c>
      <c r="L39" s="213">
        <f>IF('Employee Master'!B36="","",'Employee Master'!M36)</f>
        <v/>
      </c>
      <c r="M39" s="213">
        <f>IF('Employee Master'!B36="","",'Employee Master'!N36)</f>
        <v/>
      </c>
      <c r="N39" s="213">
        <f>IF('Employee Master'!B36="","",'Employee Master'!R36)</f>
        <v/>
      </c>
      <c r="O39" s="213">
        <f>IF('Employee Master'!B36="","",'Employee Master'!S36)</f>
        <v/>
      </c>
      <c r="P39" s="213">
        <f>IF('Employee Master'!B36="","",'Employee Master'!AD36)</f>
        <v/>
      </c>
    </row>
    <row r="40" ht="15" customHeight="1" s="120">
      <c r="A40" s="213">
        <f>IF('Employee Master'!B37="","",IF(AND('Employee Master'!AD37="Y",OR('Employee Master'!C37="3:45 AM",'Employee Master'!C37="5:45 AM"),'Employee Master'!E37="N"),"Y","N"))</f>
        <v/>
      </c>
      <c r="B40" s="213">
        <f>IF('Employee Master'!B37="","",'Employee Master'!B37)</f>
        <v/>
      </c>
      <c r="C40" s="213">
        <f>IF('Employee Master'!B37="","",'Employee Master'!C37)</f>
        <v/>
      </c>
      <c r="D40" s="213">
        <f>IF('Employee Master'!B37="","",'Employee Master'!E37)</f>
        <v/>
      </c>
      <c r="E40" s="213">
        <f>IF('Employee Master'!B37="","",'Employee Master'!F37)</f>
        <v/>
      </c>
      <c r="F40" s="213">
        <f>IF('Employee Master'!B37="","",'Employee Master'!P37)</f>
        <v/>
      </c>
      <c r="G40" s="213">
        <f>IF('Employee Master'!B37="","",'Employee Master'!J37)</f>
        <v/>
      </c>
      <c r="H40" s="213">
        <f>IF('Employee Master'!B37="","",'Employee Master'!I37)</f>
        <v/>
      </c>
      <c r="I40" s="213">
        <f>IF('Employee Master'!B37="","",'Employee Master'!K37)</f>
        <v/>
      </c>
      <c r="J40" s="213">
        <f>IF('Employee Master'!B37="","",'Employee Master'!L37)</f>
        <v/>
      </c>
      <c r="K40" s="213">
        <f>IF('Employee Master'!B37="","",'Employee Master'!T37)</f>
        <v/>
      </c>
      <c r="L40" s="213">
        <f>IF('Employee Master'!B37="","",'Employee Master'!M37)</f>
        <v/>
      </c>
      <c r="M40" s="213">
        <f>IF('Employee Master'!B37="","",'Employee Master'!N37)</f>
        <v/>
      </c>
      <c r="N40" s="213">
        <f>IF('Employee Master'!B37="","",'Employee Master'!R37)</f>
        <v/>
      </c>
      <c r="O40" s="213">
        <f>IF('Employee Master'!B37="","",'Employee Master'!S37)</f>
        <v/>
      </c>
      <c r="P40" s="213">
        <f>IF('Employee Master'!B37="","",'Employee Master'!AD37)</f>
        <v/>
      </c>
    </row>
    <row r="41" ht="15" customHeight="1" s="120">
      <c r="A41" s="213">
        <f>IF('Employee Master'!B38="","",IF(AND('Employee Master'!AD38="Y",OR('Employee Master'!C38="3:45 AM",'Employee Master'!C38="5:45 AM"),'Employee Master'!E38="N"),"Y","N"))</f>
        <v/>
      </c>
      <c r="B41" s="213">
        <f>IF('Employee Master'!B38="","",'Employee Master'!B38)</f>
        <v/>
      </c>
      <c r="C41" s="213">
        <f>IF('Employee Master'!B38="","",'Employee Master'!C38)</f>
        <v/>
      </c>
      <c r="D41" s="213">
        <f>IF('Employee Master'!B38="","",'Employee Master'!E38)</f>
        <v/>
      </c>
      <c r="E41" s="213">
        <f>IF('Employee Master'!B38="","",'Employee Master'!F38)</f>
        <v/>
      </c>
      <c r="F41" s="213">
        <f>IF('Employee Master'!B38="","",'Employee Master'!P38)</f>
        <v/>
      </c>
      <c r="G41" s="213">
        <f>IF('Employee Master'!B38="","",'Employee Master'!J38)</f>
        <v/>
      </c>
      <c r="H41" s="213">
        <f>IF('Employee Master'!B38="","",'Employee Master'!I38)</f>
        <v/>
      </c>
      <c r="I41" s="213">
        <f>IF('Employee Master'!B38="","",'Employee Master'!K38)</f>
        <v/>
      </c>
      <c r="J41" s="213">
        <f>IF('Employee Master'!B38="","",'Employee Master'!L38)</f>
        <v/>
      </c>
      <c r="K41" s="213">
        <f>IF('Employee Master'!B38="","",'Employee Master'!T38)</f>
        <v/>
      </c>
      <c r="L41" s="213">
        <f>IF('Employee Master'!B38="","",'Employee Master'!M38)</f>
        <v/>
      </c>
      <c r="M41" s="213">
        <f>IF('Employee Master'!B38="","",'Employee Master'!N38)</f>
        <v/>
      </c>
      <c r="N41" s="213">
        <f>IF('Employee Master'!B38="","",'Employee Master'!R38)</f>
        <v/>
      </c>
      <c r="O41" s="213">
        <f>IF('Employee Master'!B38="","",'Employee Master'!S38)</f>
        <v/>
      </c>
      <c r="P41" s="213">
        <f>IF('Employee Master'!B38="","",'Employee Master'!AD38)</f>
        <v/>
      </c>
    </row>
    <row r="42" ht="15" customHeight="1" s="120">
      <c r="A42" s="213">
        <f>IF('Employee Master'!B39="","",IF(AND('Employee Master'!AD39="Y",OR('Employee Master'!C39="3:45 AM",'Employee Master'!C39="5:45 AM"),'Employee Master'!E39="N"),"Y","N"))</f>
        <v/>
      </c>
      <c r="B42" s="213">
        <f>IF('Employee Master'!B39="","",'Employee Master'!B39)</f>
        <v/>
      </c>
      <c r="C42" s="213">
        <f>IF('Employee Master'!B39="","",'Employee Master'!C39)</f>
        <v/>
      </c>
      <c r="D42" s="213">
        <f>IF('Employee Master'!B39="","",'Employee Master'!E39)</f>
        <v/>
      </c>
      <c r="E42" s="213">
        <f>IF('Employee Master'!B39="","",'Employee Master'!F39)</f>
        <v/>
      </c>
      <c r="F42" s="213">
        <f>IF('Employee Master'!B39="","",'Employee Master'!P39)</f>
        <v/>
      </c>
      <c r="G42" s="213">
        <f>IF('Employee Master'!B39="","",'Employee Master'!J39)</f>
        <v/>
      </c>
      <c r="H42" s="213">
        <f>IF('Employee Master'!B39="","",'Employee Master'!I39)</f>
        <v/>
      </c>
      <c r="I42" s="213">
        <f>IF('Employee Master'!B39="","",'Employee Master'!K39)</f>
        <v/>
      </c>
      <c r="J42" s="213">
        <f>IF('Employee Master'!B39="","",'Employee Master'!L39)</f>
        <v/>
      </c>
      <c r="K42" s="213">
        <f>IF('Employee Master'!B39="","",'Employee Master'!T39)</f>
        <v/>
      </c>
      <c r="L42" s="213">
        <f>IF('Employee Master'!B39="","",'Employee Master'!M39)</f>
        <v/>
      </c>
      <c r="M42" s="213">
        <f>IF('Employee Master'!B39="","",'Employee Master'!N39)</f>
        <v/>
      </c>
      <c r="N42" s="213">
        <f>IF('Employee Master'!B39="","",'Employee Master'!R39)</f>
        <v/>
      </c>
      <c r="O42" s="213">
        <f>IF('Employee Master'!B39="","",'Employee Master'!S39)</f>
        <v/>
      </c>
      <c r="P42" s="213">
        <f>IF('Employee Master'!B39="","",'Employee Master'!AD39)</f>
        <v/>
      </c>
    </row>
    <row r="43" ht="15" customHeight="1" s="120">
      <c r="A43" s="213">
        <f>IF('Employee Master'!B40="","",IF(AND('Employee Master'!AD40="Y",OR('Employee Master'!C40="3:45 AM",'Employee Master'!C40="5:45 AM"),'Employee Master'!E40="N"),"Y","N"))</f>
        <v/>
      </c>
      <c r="B43" s="213">
        <f>IF('Employee Master'!B40="","",'Employee Master'!B40)</f>
        <v/>
      </c>
      <c r="C43" s="213">
        <f>IF('Employee Master'!B40="","",'Employee Master'!C40)</f>
        <v/>
      </c>
      <c r="D43" s="213">
        <f>IF('Employee Master'!B40="","",'Employee Master'!E40)</f>
        <v/>
      </c>
      <c r="E43" s="213">
        <f>IF('Employee Master'!B40="","",'Employee Master'!F40)</f>
        <v/>
      </c>
      <c r="F43" s="213">
        <f>IF('Employee Master'!B40="","",'Employee Master'!P40)</f>
        <v/>
      </c>
      <c r="G43" s="213">
        <f>IF('Employee Master'!B40="","",'Employee Master'!J40)</f>
        <v/>
      </c>
      <c r="H43" s="213">
        <f>IF('Employee Master'!B40="","",'Employee Master'!I40)</f>
        <v/>
      </c>
      <c r="I43" s="213">
        <f>IF('Employee Master'!B40="","",'Employee Master'!K40)</f>
        <v/>
      </c>
      <c r="J43" s="213">
        <f>IF('Employee Master'!B40="","",'Employee Master'!L40)</f>
        <v/>
      </c>
      <c r="K43" s="213">
        <f>IF('Employee Master'!B40="","",'Employee Master'!T40)</f>
        <v/>
      </c>
      <c r="L43" s="213">
        <f>IF('Employee Master'!B40="","",'Employee Master'!M40)</f>
        <v/>
      </c>
      <c r="M43" s="213">
        <f>IF('Employee Master'!B40="","",'Employee Master'!N40)</f>
        <v/>
      </c>
      <c r="N43" s="213">
        <f>IF('Employee Master'!B40="","",'Employee Master'!R40)</f>
        <v/>
      </c>
      <c r="O43" s="213">
        <f>IF('Employee Master'!B40="","",'Employee Master'!S40)</f>
        <v/>
      </c>
      <c r="P43" s="213">
        <f>IF('Employee Master'!B40="","",'Employee Master'!AD40)</f>
        <v/>
      </c>
    </row>
    <row r="44" ht="15" customHeight="1" s="120">
      <c r="A44" s="213">
        <f>IF('Employee Master'!B41="","",IF(AND('Employee Master'!AD41="Y",OR('Employee Master'!C41="3:45 AM",'Employee Master'!C41="5:45 AM"),'Employee Master'!E41="N"),"Y","N"))</f>
        <v/>
      </c>
      <c r="B44" s="213">
        <f>IF('Employee Master'!B41="","",'Employee Master'!B41)</f>
        <v/>
      </c>
      <c r="C44" s="213">
        <f>IF('Employee Master'!B41="","",'Employee Master'!C41)</f>
        <v/>
      </c>
      <c r="D44" s="213">
        <f>IF('Employee Master'!B41="","",'Employee Master'!E41)</f>
        <v/>
      </c>
      <c r="E44" s="213">
        <f>IF('Employee Master'!B41="","",'Employee Master'!F41)</f>
        <v/>
      </c>
      <c r="F44" s="213">
        <f>IF('Employee Master'!B41="","",'Employee Master'!P41)</f>
        <v/>
      </c>
      <c r="G44" s="213">
        <f>IF('Employee Master'!B41="","",'Employee Master'!J41)</f>
        <v/>
      </c>
      <c r="H44" s="213">
        <f>IF('Employee Master'!B41="","",'Employee Master'!I41)</f>
        <v/>
      </c>
      <c r="I44" s="213">
        <f>IF('Employee Master'!B41="","",'Employee Master'!K41)</f>
        <v/>
      </c>
      <c r="J44" s="213">
        <f>IF('Employee Master'!B41="","",'Employee Master'!L41)</f>
        <v/>
      </c>
      <c r="K44" s="213">
        <f>IF('Employee Master'!B41="","",'Employee Master'!T41)</f>
        <v/>
      </c>
      <c r="L44" s="213">
        <f>IF('Employee Master'!B41="","",'Employee Master'!M41)</f>
        <v/>
      </c>
      <c r="M44" s="213">
        <f>IF('Employee Master'!B41="","",'Employee Master'!N41)</f>
        <v/>
      </c>
      <c r="N44" s="213">
        <f>IF('Employee Master'!B41="","",'Employee Master'!R41)</f>
        <v/>
      </c>
      <c r="O44" s="213">
        <f>IF('Employee Master'!B41="","",'Employee Master'!S41)</f>
        <v/>
      </c>
      <c r="P44" s="213">
        <f>IF('Employee Master'!B41="","",'Employee Master'!AD41)</f>
        <v/>
      </c>
    </row>
    <row r="45" ht="15" customHeight="1" s="120">
      <c r="A45" s="213">
        <f>IF('Employee Master'!B42="","",IF(AND('Employee Master'!AD42="Y",OR('Employee Master'!C42="3:45 AM",'Employee Master'!C42="5:45 AM"),'Employee Master'!E42="N"),"Y","N"))</f>
        <v/>
      </c>
      <c r="B45" s="213">
        <f>IF('Employee Master'!B42="","",'Employee Master'!B42)</f>
        <v/>
      </c>
      <c r="C45" s="213">
        <f>IF('Employee Master'!B42="","",'Employee Master'!C42)</f>
        <v/>
      </c>
      <c r="D45" s="213">
        <f>IF('Employee Master'!B42="","",'Employee Master'!E42)</f>
        <v/>
      </c>
      <c r="E45" s="213">
        <f>IF('Employee Master'!B42="","",'Employee Master'!F42)</f>
        <v/>
      </c>
      <c r="F45" s="213">
        <f>IF('Employee Master'!B42="","",'Employee Master'!P42)</f>
        <v/>
      </c>
      <c r="G45" s="213">
        <f>IF('Employee Master'!B42="","",'Employee Master'!J42)</f>
        <v/>
      </c>
      <c r="H45" s="213">
        <f>IF('Employee Master'!B42="","",'Employee Master'!I42)</f>
        <v/>
      </c>
      <c r="I45" s="213">
        <f>IF('Employee Master'!B42="","",'Employee Master'!K42)</f>
        <v/>
      </c>
      <c r="J45" s="213">
        <f>IF('Employee Master'!B42="","",'Employee Master'!L42)</f>
        <v/>
      </c>
      <c r="K45" s="213">
        <f>IF('Employee Master'!B42="","",'Employee Master'!T42)</f>
        <v/>
      </c>
      <c r="L45" s="213">
        <f>IF('Employee Master'!B42="","",'Employee Master'!M42)</f>
        <v/>
      </c>
      <c r="M45" s="213">
        <f>IF('Employee Master'!B42="","",'Employee Master'!N42)</f>
        <v/>
      </c>
      <c r="N45" s="213">
        <f>IF('Employee Master'!B42="","",'Employee Master'!R42)</f>
        <v/>
      </c>
      <c r="O45" s="213">
        <f>IF('Employee Master'!B42="","",'Employee Master'!S42)</f>
        <v/>
      </c>
      <c r="P45" s="213">
        <f>IF('Employee Master'!B42="","",'Employee Master'!AD42)</f>
        <v/>
      </c>
    </row>
    <row r="46" ht="15" customHeight="1" s="120">
      <c r="A46" s="213">
        <f>IF('Employee Master'!B43="","",IF(AND('Employee Master'!AD43="Y",OR('Employee Master'!C43="3:45 AM",'Employee Master'!C43="5:45 AM"),'Employee Master'!E43="N"),"Y","N"))</f>
        <v/>
      </c>
      <c r="B46" s="213">
        <f>IF('Employee Master'!B43="","",'Employee Master'!B43)</f>
        <v/>
      </c>
      <c r="C46" s="213">
        <f>IF('Employee Master'!B43="","",'Employee Master'!C43)</f>
        <v/>
      </c>
      <c r="D46" s="213">
        <f>IF('Employee Master'!B43="","",'Employee Master'!E43)</f>
        <v/>
      </c>
      <c r="E46" s="213">
        <f>IF('Employee Master'!B43="","",'Employee Master'!F43)</f>
        <v/>
      </c>
      <c r="F46" s="213">
        <f>IF('Employee Master'!B43="","",'Employee Master'!P43)</f>
        <v/>
      </c>
      <c r="G46" s="213">
        <f>IF('Employee Master'!B43="","",'Employee Master'!J43)</f>
        <v/>
      </c>
      <c r="H46" s="213">
        <f>IF('Employee Master'!B43="","",'Employee Master'!I43)</f>
        <v/>
      </c>
      <c r="I46" s="213">
        <f>IF('Employee Master'!B43="","",'Employee Master'!K43)</f>
        <v/>
      </c>
      <c r="J46" s="213">
        <f>IF('Employee Master'!B43="","",'Employee Master'!L43)</f>
        <v/>
      </c>
      <c r="K46" s="213">
        <f>IF('Employee Master'!B43="","",'Employee Master'!T43)</f>
        <v/>
      </c>
      <c r="L46" s="213">
        <f>IF('Employee Master'!B43="","",'Employee Master'!M43)</f>
        <v/>
      </c>
      <c r="M46" s="213">
        <f>IF('Employee Master'!B43="","",'Employee Master'!N43)</f>
        <v/>
      </c>
      <c r="N46" s="213">
        <f>IF('Employee Master'!B43="","",'Employee Master'!R43)</f>
        <v/>
      </c>
      <c r="O46" s="213">
        <f>IF('Employee Master'!B43="","",'Employee Master'!S43)</f>
        <v/>
      </c>
      <c r="P46" s="213">
        <f>IF('Employee Master'!B43="","",'Employee Master'!AD43)</f>
        <v/>
      </c>
    </row>
    <row r="47" ht="15" customHeight="1" s="120">
      <c r="A47" s="213">
        <f>IF('Employee Master'!B44="","",IF(AND('Employee Master'!AD44="Y",OR('Employee Master'!C44="3:45 AM",'Employee Master'!C44="5:45 AM"),'Employee Master'!E44="N"),"Y","N"))</f>
        <v/>
      </c>
      <c r="B47" s="213">
        <f>IF('Employee Master'!B44="","",'Employee Master'!B44)</f>
        <v/>
      </c>
      <c r="C47" s="213">
        <f>IF('Employee Master'!B44="","",'Employee Master'!C44)</f>
        <v/>
      </c>
      <c r="D47" s="213">
        <f>IF('Employee Master'!B44="","",'Employee Master'!E44)</f>
        <v/>
      </c>
      <c r="E47" s="213">
        <f>IF('Employee Master'!B44="","",'Employee Master'!F44)</f>
        <v/>
      </c>
      <c r="F47" s="213">
        <f>IF('Employee Master'!B44="","",'Employee Master'!P44)</f>
        <v/>
      </c>
      <c r="G47" s="213">
        <f>IF('Employee Master'!B44="","",'Employee Master'!J44)</f>
        <v/>
      </c>
      <c r="H47" s="213">
        <f>IF('Employee Master'!B44="","",'Employee Master'!I44)</f>
        <v/>
      </c>
      <c r="I47" s="213">
        <f>IF('Employee Master'!B44="","",'Employee Master'!K44)</f>
        <v/>
      </c>
      <c r="J47" s="213">
        <f>IF('Employee Master'!B44="","",'Employee Master'!L44)</f>
        <v/>
      </c>
      <c r="K47" s="213">
        <f>IF('Employee Master'!B44="","",'Employee Master'!T44)</f>
        <v/>
      </c>
      <c r="L47" s="213">
        <f>IF('Employee Master'!B44="","",'Employee Master'!M44)</f>
        <v/>
      </c>
      <c r="M47" s="213">
        <f>IF('Employee Master'!B44="","",'Employee Master'!N44)</f>
        <v/>
      </c>
      <c r="N47" s="213">
        <f>IF('Employee Master'!B44="","",'Employee Master'!R44)</f>
        <v/>
      </c>
      <c r="O47" s="213">
        <f>IF('Employee Master'!B44="","",'Employee Master'!S44)</f>
        <v/>
      </c>
      <c r="P47" s="213">
        <f>IF('Employee Master'!B44="","",'Employee Master'!AD44)</f>
        <v/>
      </c>
    </row>
    <row r="48" ht="15" customHeight="1" s="120">
      <c r="A48" s="213">
        <f>IF('Employee Master'!B45="","",IF(AND('Employee Master'!AD45="Y",OR('Employee Master'!C45="3:45 AM",'Employee Master'!C45="5:45 AM"),'Employee Master'!E45="N"),"Y","N"))</f>
        <v/>
      </c>
      <c r="B48" s="213">
        <f>IF('Employee Master'!B45="","",'Employee Master'!B45)</f>
        <v/>
      </c>
      <c r="C48" s="213">
        <f>IF('Employee Master'!B45="","",'Employee Master'!C45)</f>
        <v/>
      </c>
      <c r="D48" s="213">
        <f>IF('Employee Master'!B45="","",'Employee Master'!E45)</f>
        <v/>
      </c>
      <c r="E48" s="213">
        <f>IF('Employee Master'!B45="","",'Employee Master'!F45)</f>
        <v/>
      </c>
      <c r="F48" s="213">
        <f>IF('Employee Master'!B45="","",'Employee Master'!P45)</f>
        <v/>
      </c>
      <c r="G48" s="213">
        <f>IF('Employee Master'!B45="","",'Employee Master'!J45)</f>
        <v/>
      </c>
      <c r="H48" s="213">
        <f>IF('Employee Master'!B45="","",'Employee Master'!I45)</f>
        <v/>
      </c>
      <c r="I48" s="213">
        <f>IF('Employee Master'!B45="","",'Employee Master'!K45)</f>
        <v/>
      </c>
      <c r="J48" s="213">
        <f>IF('Employee Master'!B45="","",'Employee Master'!L45)</f>
        <v/>
      </c>
      <c r="K48" s="213">
        <f>IF('Employee Master'!B45="","",'Employee Master'!T45)</f>
        <v/>
      </c>
      <c r="L48" s="213">
        <f>IF('Employee Master'!B45="","",'Employee Master'!M45)</f>
        <v/>
      </c>
      <c r="M48" s="213">
        <f>IF('Employee Master'!B45="","",'Employee Master'!N45)</f>
        <v/>
      </c>
      <c r="N48" s="213">
        <f>IF('Employee Master'!B45="","",'Employee Master'!R45)</f>
        <v/>
      </c>
      <c r="O48" s="213">
        <f>IF('Employee Master'!B45="","",'Employee Master'!S45)</f>
        <v/>
      </c>
      <c r="P48" s="213">
        <f>IF('Employee Master'!B45="","",'Employee Master'!AD45)</f>
        <v/>
      </c>
    </row>
    <row r="49" ht="15" customHeight="1" s="120">
      <c r="A49" s="213">
        <f>IF('Employee Master'!B46="","",IF(AND('Employee Master'!AD46="Y",OR('Employee Master'!C46="3:45 AM",'Employee Master'!C46="5:45 AM"),'Employee Master'!E46="N"),"Y","N"))</f>
        <v/>
      </c>
      <c r="B49" s="213">
        <f>IF('Employee Master'!B46="","",'Employee Master'!B46)</f>
        <v/>
      </c>
      <c r="C49" s="213">
        <f>IF('Employee Master'!B46="","",'Employee Master'!C46)</f>
        <v/>
      </c>
      <c r="D49" s="213">
        <f>IF('Employee Master'!B46="","",'Employee Master'!E46)</f>
        <v/>
      </c>
      <c r="E49" s="213">
        <f>IF('Employee Master'!B46="","",'Employee Master'!F46)</f>
        <v/>
      </c>
      <c r="F49" s="213">
        <f>IF('Employee Master'!B46="","",'Employee Master'!P46)</f>
        <v/>
      </c>
      <c r="G49" s="213">
        <f>IF('Employee Master'!B46="","",'Employee Master'!J46)</f>
        <v/>
      </c>
      <c r="H49" s="213">
        <f>IF('Employee Master'!B46="","",'Employee Master'!I46)</f>
        <v/>
      </c>
      <c r="I49" s="213">
        <f>IF('Employee Master'!B46="","",'Employee Master'!K46)</f>
        <v/>
      </c>
      <c r="J49" s="213">
        <f>IF('Employee Master'!B46="","",'Employee Master'!L46)</f>
        <v/>
      </c>
      <c r="K49" s="213">
        <f>IF('Employee Master'!B46="","",'Employee Master'!T46)</f>
        <v/>
      </c>
      <c r="L49" s="213">
        <f>IF('Employee Master'!B46="","",'Employee Master'!M46)</f>
        <v/>
      </c>
      <c r="M49" s="213">
        <f>IF('Employee Master'!B46="","",'Employee Master'!N46)</f>
        <v/>
      </c>
      <c r="N49" s="213">
        <f>IF('Employee Master'!B46="","",'Employee Master'!R46)</f>
        <v/>
      </c>
      <c r="O49" s="213">
        <f>IF('Employee Master'!B46="","",'Employee Master'!S46)</f>
        <v/>
      </c>
      <c r="P49" s="213">
        <f>IF('Employee Master'!B46="","",'Employee Master'!AD46)</f>
        <v/>
      </c>
    </row>
    <row r="50" ht="15" customHeight="1" s="120">
      <c r="A50" s="213">
        <f>IF('Employee Master'!B47="","",IF(AND('Employee Master'!AD47="Y",OR('Employee Master'!C47="3:45 AM",'Employee Master'!C47="5:45 AM"),'Employee Master'!E47="N"),"Y","N"))</f>
        <v/>
      </c>
      <c r="B50" s="213">
        <f>IF('Employee Master'!B47="","",'Employee Master'!B47)</f>
        <v/>
      </c>
      <c r="C50" s="213">
        <f>IF('Employee Master'!B47="","",'Employee Master'!C47)</f>
        <v/>
      </c>
      <c r="D50" s="213">
        <f>IF('Employee Master'!B47="","",'Employee Master'!E47)</f>
        <v/>
      </c>
      <c r="E50" s="213">
        <f>IF('Employee Master'!B47="","",'Employee Master'!F47)</f>
        <v/>
      </c>
      <c r="F50" s="213">
        <f>IF('Employee Master'!B47="","",'Employee Master'!P47)</f>
        <v/>
      </c>
      <c r="G50" s="213">
        <f>IF('Employee Master'!B47="","",'Employee Master'!J47)</f>
        <v/>
      </c>
      <c r="H50" s="213">
        <f>IF('Employee Master'!B47="","",'Employee Master'!I47)</f>
        <v/>
      </c>
      <c r="I50" s="213">
        <f>IF('Employee Master'!B47="","",'Employee Master'!K47)</f>
        <v/>
      </c>
      <c r="J50" s="213">
        <f>IF('Employee Master'!B47="","",'Employee Master'!L47)</f>
        <v/>
      </c>
      <c r="K50" s="213">
        <f>IF('Employee Master'!B47="","",'Employee Master'!T47)</f>
        <v/>
      </c>
      <c r="L50" s="213">
        <f>IF('Employee Master'!B47="","",'Employee Master'!M47)</f>
        <v/>
      </c>
      <c r="M50" s="213">
        <f>IF('Employee Master'!B47="","",'Employee Master'!N47)</f>
        <v/>
      </c>
      <c r="N50" s="213">
        <f>IF('Employee Master'!B47="","",'Employee Master'!R47)</f>
        <v/>
      </c>
      <c r="O50" s="213">
        <f>IF('Employee Master'!B47="","",'Employee Master'!S47)</f>
        <v/>
      </c>
      <c r="P50" s="213">
        <f>IF('Employee Master'!B47="","",'Employee Master'!AD47)</f>
        <v/>
      </c>
    </row>
    <row r="51" ht="15" customHeight="1" s="120">
      <c r="A51" s="213">
        <f>IF('Employee Master'!B48="","",IF(AND('Employee Master'!AD48="Y",OR('Employee Master'!C48="3:45 AM",'Employee Master'!C48="5:45 AM"),'Employee Master'!E48="N"),"Y","N"))</f>
        <v/>
      </c>
      <c r="B51" s="213">
        <f>IF('Employee Master'!B48="","",'Employee Master'!B48)</f>
        <v/>
      </c>
      <c r="C51" s="213">
        <f>IF('Employee Master'!B48="","",'Employee Master'!C48)</f>
        <v/>
      </c>
      <c r="D51" s="213">
        <f>IF('Employee Master'!B48="","",'Employee Master'!E48)</f>
        <v/>
      </c>
      <c r="E51" s="213">
        <f>IF('Employee Master'!B48="","",'Employee Master'!F48)</f>
        <v/>
      </c>
      <c r="F51" s="213">
        <f>IF('Employee Master'!B48="","",'Employee Master'!P48)</f>
        <v/>
      </c>
      <c r="G51" s="213">
        <f>IF('Employee Master'!B48="","",'Employee Master'!J48)</f>
        <v/>
      </c>
      <c r="H51" s="213">
        <f>IF('Employee Master'!B48="","",'Employee Master'!I48)</f>
        <v/>
      </c>
      <c r="I51" s="213">
        <f>IF('Employee Master'!B48="","",'Employee Master'!K48)</f>
        <v/>
      </c>
      <c r="J51" s="213">
        <f>IF('Employee Master'!B48="","",'Employee Master'!L48)</f>
        <v/>
      </c>
      <c r="K51" s="213">
        <f>IF('Employee Master'!B48="","",'Employee Master'!T48)</f>
        <v/>
      </c>
      <c r="L51" s="213">
        <f>IF('Employee Master'!B48="","",'Employee Master'!M48)</f>
        <v/>
      </c>
      <c r="M51" s="213">
        <f>IF('Employee Master'!B48="","",'Employee Master'!N48)</f>
        <v/>
      </c>
      <c r="N51" s="213">
        <f>IF('Employee Master'!B48="","",'Employee Master'!R48)</f>
        <v/>
      </c>
      <c r="O51" s="213">
        <f>IF('Employee Master'!B48="","",'Employee Master'!S48)</f>
        <v/>
      </c>
      <c r="P51" s="213">
        <f>IF('Employee Master'!B48="","",'Employee Master'!AD48)</f>
        <v/>
      </c>
    </row>
    <row r="52" ht="15" customHeight="1" s="120">
      <c r="A52" s="213">
        <f>IF('Employee Master'!B49="","",IF(AND('Employee Master'!AD49="Y",OR('Employee Master'!C49="3:45 AM",'Employee Master'!C49="5:45 AM"),'Employee Master'!E49="N"),"Y","N"))</f>
        <v/>
      </c>
      <c r="B52" s="213">
        <f>IF('Employee Master'!B49="","",'Employee Master'!B49)</f>
        <v/>
      </c>
      <c r="C52" s="213">
        <f>IF('Employee Master'!B49="","",'Employee Master'!C49)</f>
        <v/>
      </c>
      <c r="D52" s="213">
        <f>IF('Employee Master'!B49="","",'Employee Master'!E49)</f>
        <v/>
      </c>
      <c r="E52" s="213">
        <f>IF('Employee Master'!B49="","",'Employee Master'!F49)</f>
        <v/>
      </c>
      <c r="F52" s="213">
        <f>IF('Employee Master'!B49="","",'Employee Master'!P49)</f>
        <v/>
      </c>
      <c r="G52" s="213">
        <f>IF('Employee Master'!B49="","",'Employee Master'!J49)</f>
        <v/>
      </c>
      <c r="H52" s="213">
        <f>IF('Employee Master'!B49="","",'Employee Master'!I49)</f>
        <v/>
      </c>
      <c r="I52" s="213">
        <f>IF('Employee Master'!B49="","",'Employee Master'!K49)</f>
        <v/>
      </c>
      <c r="J52" s="213">
        <f>IF('Employee Master'!B49="","",'Employee Master'!L49)</f>
        <v/>
      </c>
      <c r="K52" s="213">
        <f>IF('Employee Master'!B49="","",'Employee Master'!T49)</f>
        <v/>
      </c>
      <c r="L52" s="213">
        <f>IF('Employee Master'!B49="","",'Employee Master'!M49)</f>
        <v/>
      </c>
      <c r="M52" s="213">
        <f>IF('Employee Master'!B49="","",'Employee Master'!N49)</f>
        <v/>
      </c>
      <c r="N52" s="213">
        <f>IF('Employee Master'!B49="","",'Employee Master'!R49)</f>
        <v/>
      </c>
      <c r="O52" s="213">
        <f>IF('Employee Master'!B49="","",'Employee Master'!S49)</f>
        <v/>
      </c>
      <c r="P52" s="213">
        <f>IF('Employee Master'!B49="","",'Employee Master'!AD49)</f>
        <v/>
      </c>
    </row>
    <row r="53" ht="15" customHeight="1" s="120">
      <c r="A53" s="213">
        <f>IF('Employee Master'!B50="","",IF(AND('Employee Master'!AD50="Y",OR('Employee Master'!C50="3:45 AM",'Employee Master'!C50="5:45 AM"),'Employee Master'!E50="N"),"Y","N"))</f>
        <v/>
      </c>
      <c r="B53" s="213">
        <f>IF('Employee Master'!B50="","",'Employee Master'!B50)</f>
        <v/>
      </c>
      <c r="C53" s="213">
        <f>IF('Employee Master'!B50="","",'Employee Master'!C50)</f>
        <v/>
      </c>
      <c r="D53" s="213">
        <f>IF('Employee Master'!B50="","",'Employee Master'!E50)</f>
        <v/>
      </c>
      <c r="E53" s="213">
        <f>IF('Employee Master'!B50="","",'Employee Master'!F50)</f>
        <v/>
      </c>
      <c r="F53" s="213">
        <f>IF('Employee Master'!B50="","",'Employee Master'!P50)</f>
        <v/>
      </c>
      <c r="G53" s="213">
        <f>IF('Employee Master'!B50="","",'Employee Master'!J50)</f>
        <v/>
      </c>
      <c r="H53" s="213">
        <f>IF('Employee Master'!B50="","",'Employee Master'!I50)</f>
        <v/>
      </c>
      <c r="I53" s="213">
        <f>IF('Employee Master'!B50="","",'Employee Master'!K50)</f>
        <v/>
      </c>
      <c r="J53" s="213">
        <f>IF('Employee Master'!B50="","",'Employee Master'!L50)</f>
        <v/>
      </c>
      <c r="K53" s="213">
        <f>IF('Employee Master'!B50="","",'Employee Master'!T50)</f>
        <v/>
      </c>
      <c r="L53" s="213">
        <f>IF('Employee Master'!B50="","",'Employee Master'!M50)</f>
        <v/>
      </c>
      <c r="M53" s="213">
        <f>IF('Employee Master'!B50="","",'Employee Master'!N50)</f>
        <v/>
      </c>
      <c r="N53" s="213">
        <f>IF('Employee Master'!B50="","",'Employee Master'!R50)</f>
        <v/>
      </c>
      <c r="O53" s="213">
        <f>IF('Employee Master'!B50="","",'Employee Master'!S50)</f>
        <v/>
      </c>
      <c r="P53" s="213">
        <f>IF('Employee Master'!B50="","",'Employee Master'!AD50)</f>
        <v/>
      </c>
    </row>
    <row r="54" ht="15" customHeight="1" s="120">
      <c r="A54" s="213">
        <f>IF('Employee Master'!B51="","",IF(AND('Employee Master'!AD51="Y",OR('Employee Master'!C51="3:45 AM",'Employee Master'!C51="5:45 AM"),'Employee Master'!E51="N"),"Y","N"))</f>
        <v/>
      </c>
      <c r="B54" s="213">
        <f>IF('Employee Master'!B51="","",'Employee Master'!B51)</f>
        <v/>
      </c>
      <c r="C54" s="213">
        <f>IF('Employee Master'!B51="","",'Employee Master'!C51)</f>
        <v/>
      </c>
      <c r="D54" s="213">
        <f>IF('Employee Master'!B51="","",'Employee Master'!E51)</f>
        <v/>
      </c>
      <c r="E54" s="213">
        <f>IF('Employee Master'!B51="","",'Employee Master'!F51)</f>
        <v/>
      </c>
      <c r="F54" s="213">
        <f>IF('Employee Master'!B51="","",'Employee Master'!P51)</f>
        <v/>
      </c>
      <c r="G54" s="213">
        <f>IF('Employee Master'!B51="","",'Employee Master'!J51)</f>
        <v/>
      </c>
      <c r="H54" s="213">
        <f>IF('Employee Master'!B51="","",'Employee Master'!I51)</f>
        <v/>
      </c>
      <c r="I54" s="213">
        <f>IF('Employee Master'!B51="","",'Employee Master'!K51)</f>
        <v/>
      </c>
      <c r="J54" s="213">
        <f>IF('Employee Master'!B51="","",'Employee Master'!L51)</f>
        <v/>
      </c>
      <c r="K54" s="213">
        <f>IF('Employee Master'!B51="","",'Employee Master'!T51)</f>
        <v/>
      </c>
      <c r="L54" s="213">
        <f>IF('Employee Master'!B51="","",'Employee Master'!M51)</f>
        <v/>
      </c>
      <c r="M54" s="213">
        <f>IF('Employee Master'!B51="","",'Employee Master'!N51)</f>
        <v/>
      </c>
      <c r="N54" s="213">
        <f>IF('Employee Master'!B51="","",'Employee Master'!R51)</f>
        <v/>
      </c>
      <c r="O54" s="213">
        <f>IF('Employee Master'!B51="","",'Employee Master'!S51)</f>
        <v/>
      </c>
      <c r="P54" s="213">
        <f>IF('Employee Master'!B51="","",'Employee Master'!AD51)</f>
        <v/>
      </c>
    </row>
    <row r="55" ht="15" customHeight="1" s="120">
      <c r="A55" s="213">
        <f>IF('Employee Master'!B52="","",IF(AND('Employee Master'!AD52="Y",OR('Employee Master'!C52="3:45 AM",'Employee Master'!C52="5:45 AM"),'Employee Master'!E52="N"),"Y","N"))</f>
        <v/>
      </c>
      <c r="B55" s="213">
        <f>IF('Employee Master'!B52="","",'Employee Master'!B52)</f>
        <v/>
      </c>
      <c r="C55" s="213">
        <f>IF('Employee Master'!B52="","",'Employee Master'!C52)</f>
        <v/>
      </c>
      <c r="D55" s="213">
        <f>IF('Employee Master'!B52="","",'Employee Master'!E52)</f>
        <v/>
      </c>
      <c r="E55" s="213">
        <f>IF('Employee Master'!B52="","",'Employee Master'!F52)</f>
        <v/>
      </c>
      <c r="F55" s="213">
        <f>IF('Employee Master'!B52="","",'Employee Master'!P52)</f>
        <v/>
      </c>
      <c r="G55" s="213">
        <f>IF('Employee Master'!B52="","",'Employee Master'!J52)</f>
        <v/>
      </c>
      <c r="H55" s="213">
        <f>IF('Employee Master'!B52="","",'Employee Master'!I52)</f>
        <v/>
      </c>
      <c r="I55" s="213">
        <f>IF('Employee Master'!B52="","",'Employee Master'!K52)</f>
        <v/>
      </c>
      <c r="J55" s="213">
        <f>IF('Employee Master'!B52="","",'Employee Master'!L52)</f>
        <v/>
      </c>
      <c r="K55" s="213">
        <f>IF('Employee Master'!B52="","",'Employee Master'!T52)</f>
        <v/>
      </c>
      <c r="L55" s="213">
        <f>IF('Employee Master'!B52="","",'Employee Master'!M52)</f>
        <v/>
      </c>
      <c r="M55" s="213">
        <f>IF('Employee Master'!B52="","",'Employee Master'!N52)</f>
        <v/>
      </c>
      <c r="N55" s="213">
        <f>IF('Employee Master'!B52="","",'Employee Master'!R52)</f>
        <v/>
      </c>
      <c r="O55" s="213">
        <f>IF('Employee Master'!B52="","",'Employee Master'!S52)</f>
        <v/>
      </c>
      <c r="P55" s="213">
        <f>IF('Employee Master'!B52="","",'Employee Master'!AD52)</f>
        <v/>
      </c>
    </row>
    <row r="56" ht="15" customHeight="1" s="120">
      <c r="A56" s="213">
        <f>IF('Employee Master'!B53="","",IF(AND('Employee Master'!AD53="Y",OR('Employee Master'!C53="3:45 AM",'Employee Master'!C53="5:45 AM"),'Employee Master'!E53="N"),"Y","N"))</f>
        <v/>
      </c>
      <c r="B56" s="213">
        <f>IF('Employee Master'!B53="","",'Employee Master'!B53)</f>
        <v/>
      </c>
      <c r="C56" s="213">
        <f>IF('Employee Master'!B53="","",'Employee Master'!C53)</f>
        <v/>
      </c>
      <c r="D56" s="213">
        <f>IF('Employee Master'!B53="","",'Employee Master'!E53)</f>
        <v/>
      </c>
      <c r="E56" s="213">
        <f>IF('Employee Master'!B53="","",'Employee Master'!F53)</f>
        <v/>
      </c>
      <c r="F56" s="213">
        <f>IF('Employee Master'!B53="","",'Employee Master'!P53)</f>
        <v/>
      </c>
      <c r="G56" s="213">
        <f>IF('Employee Master'!B53="","",'Employee Master'!J53)</f>
        <v/>
      </c>
      <c r="H56" s="213">
        <f>IF('Employee Master'!B53="","",'Employee Master'!I53)</f>
        <v/>
      </c>
      <c r="I56" s="213">
        <f>IF('Employee Master'!B53="","",'Employee Master'!K53)</f>
        <v/>
      </c>
      <c r="J56" s="213">
        <f>IF('Employee Master'!B53="","",'Employee Master'!L53)</f>
        <v/>
      </c>
      <c r="K56" s="213">
        <f>IF('Employee Master'!B53="","",'Employee Master'!T53)</f>
        <v/>
      </c>
      <c r="L56" s="213">
        <f>IF('Employee Master'!B53="","",'Employee Master'!M53)</f>
        <v/>
      </c>
      <c r="M56" s="213">
        <f>IF('Employee Master'!B53="","",'Employee Master'!N53)</f>
        <v/>
      </c>
      <c r="N56" s="213">
        <f>IF('Employee Master'!B53="","",'Employee Master'!R53)</f>
        <v/>
      </c>
      <c r="O56" s="213">
        <f>IF('Employee Master'!B53="","",'Employee Master'!S53)</f>
        <v/>
      </c>
      <c r="P56" s="213">
        <f>IF('Employee Master'!B53="","",'Employee Master'!AD53)</f>
        <v/>
      </c>
    </row>
    <row r="57" ht="15" customHeight="1" s="120">
      <c r="A57" s="213">
        <f>IF('Employee Master'!B54="","",IF(AND('Employee Master'!AD54="Y",OR('Employee Master'!C54="3:45 AM",'Employee Master'!C54="5:45 AM"),'Employee Master'!E54="N"),"Y","N"))</f>
        <v/>
      </c>
      <c r="B57" s="213">
        <f>IF('Employee Master'!B54="","",'Employee Master'!B54)</f>
        <v/>
      </c>
      <c r="C57" s="213">
        <f>IF('Employee Master'!B54="","",'Employee Master'!C54)</f>
        <v/>
      </c>
      <c r="D57" s="213">
        <f>IF('Employee Master'!B54="","",'Employee Master'!E54)</f>
        <v/>
      </c>
      <c r="E57" s="213">
        <f>IF('Employee Master'!B54="","",'Employee Master'!F54)</f>
        <v/>
      </c>
      <c r="F57" s="213">
        <f>IF('Employee Master'!B54="","",'Employee Master'!P54)</f>
        <v/>
      </c>
      <c r="G57" s="213">
        <f>IF('Employee Master'!B54="","",'Employee Master'!J54)</f>
        <v/>
      </c>
      <c r="H57" s="213">
        <f>IF('Employee Master'!B54="","",'Employee Master'!I54)</f>
        <v/>
      </c>
      <c r="I57" s="213">
        <f>IF('Employee Master'!B54="","",'Employee Master'!K54)</f>
        <v/>
      </c>
      <c r="J57" s="213">
        <f>IF('Employee Master'!B54="","",'Employee Master'!L54)</f>
        <v/>
      </c>
      <c r="K57" s="213">
        <f>IF('Employee Master'!B54="","",'Employee Master'!T54)</f>
        <v/>
      </c>
      <c r="L57" s="213">
        <f>IF('Employee Master'!B54="","",'Employee Master'!M54)</f>
        <v/>
      </c>
      <c r="M57" s="213">
        <f>IF('Employee Master'!B54="","",'Employee Master'!N54)</f>
        <v/>
      </c>
      <c r="N57" s="213">
        <f>IF('Employee Master'!B54="","",'Employee Master'!R54)</f>
        <v/>
      </c>
      <c r="O57" s="213">
        <f>IF('Employee Master'!B54="","",'Employee Master'!S54)</f>
        <v/>
      </c>
      <c r="P57" s="213">
        <f>IF('Employee Master'!B54="","",'Employee Master'!AD54)</f>
        <v/>
      </c>
    </row>
    <row r="58" ht="15" customHeight="1" s="120">
      <c r="A58" s="213">
        <f>IF('Employee Master'!B55="","",IF(AND('Employee Master'!AD55="Y",OR('Employee Master'!C55="3:45 AM",'Employee Master'!C55="5:45 AM"),'Employee Master'!E55="N"),"Y","N"))</f>
        <v/>
      </c>
      <c r="B58" s="213">
        <f>IF('Employee Master'!B55="","",'Employee Master'!B55)</f>
        <v/>
      </c>
      <c r="C58" s="213">
        <f>IF('Employee Master'!B55="","",'Employee Master'!C55)</f>
        <v/>
      </c>
      <c r="D58" s="213">
        <f>IF('Employee Master'!B55="","",'Employee Master'!E55)</f>
        <v/>
      </c>
      <c r="E58" s="213">
        <f>IF('Employee Master'!B55="","",'Employee Master'!F55)</f>
        <v/>
      </c>
      <c r="F58" s="213">
        <f>IF('Employee Master'!B55="","",'Employee Master'!P55)</f>
        <v/>
      </c>
      <c r="G58" s="213">
        <f>IF('Employee Master'!B55="","",'Employee Master'!J55)</f>
        <v/>
      </c>
      <c r="H58" s="213">
        <f>IF('Employee Master'!B55="","",'Employee Master'!I55)</f>
        <v/>
      </c>
      <c r="I58" s="213">
        <f>IF('Employee Master'!B55="","",'Employee Master'!K55)</f>
        <v/>
      </c>
      <c r="J58" s="213">
        <f>IF('Employee Master'!B55="","",'Employee Master'!L55)</f>
        <v/>
      </c>
      <c r="K58" s="213">
        <f>IF('Employee Master'!B55="","",'Employee Master'!T55)</f>
        <v/>
      </c>
      <c r="L58" s="213">
        <f>IF('Employee Master'!B55="","",'Employee Master'!M55)</f>
        <v/>
      </c>
      <c r="M58" s="213">
        <f>IF('Employee Master'!B55="","",'Employee Master'!N55)</f>
        <v/>
      </c>
      <c r="N58" s="213">
        <f>IF('Employee Master'!B55="","",'Employee Master'!R55)</f>
        <v/>
      </c>
      <c r="O58" s="213">
        <f>IF('Employee Master'!B55="","",'Employee Master'!S55)</f>
        <v/>
      </c>
      <c r="P58" s="213">
        <f>IF('Employee Master'!B55="","",'Employee Master'!AD55)</f>
        <v/>
      </c>
    </row>
    <row r="59" ht="15" customHeight="1" s="120">
      <c r="A59" s="213">
        <f>IF('Employee Master'!B56="","",IF(AND('Employee Master'!AD56="Y",OR('Employee Master'!C56="3:45 AM",'Employee Master'!C56="5:45 AM"),'Employee Master'!E56="N"),"Y","N"))</f>
        <v/>
      </c>
      <c r="B59" s="213">
        <f>IF('Employee Master'!B56="","",'Employee Master'!B56)</f>
        <v/>
      </c>
      <c r="C59" s="213">
        <f>IF('Employee Master'!B56="","",'Employee Master'!C56)</f>
        <v/>
      </c>
      <c r="D59" s="213">
        <f>IF('Employee Master'!B56="","",'Employee Master'!E56)</f>
        <v/>
      </c>
      <c r="E59" s="213">
        <f>IF('Employee Master'!B56="","",'Employee Master'!F56)</f>
        <v/>
      </c>
      <c r="F59" s="213">
        <f>IF('Employee Master'!B56="","",'Employee Master'!P56)</f>
        <v/>
      </c>
      <c r="G59" s="213">
        <f>IF('Employee Master'!B56="","",'Employee Master'!J56)</f>
        <v/>
      </c>
      <c r="H59" s="213">
        <f>IF('Employee Master'!B56="","",'Employee Master'!I56)</f>
        <v/>
      </c>
      <c r="I59" s="213">
        <f>IF('Employee Master'!B56="","",'Employee Master'!K56)</f>
        <v/>
      </c>
      <c r="J59" s="213">
        <f>IF('Employee Master'!B56="","",'Employee Master'!L56)</f>
        <v/>
      </c>
      <c r="K59" s="213">
        <f>IF('Employee Master'!B56="","",'Employee Master'!T56)</f>
        <v/>
      </c>
      <c r="L59" s="213">
        <f>IF('Employee Master'!B56="","",'Employee Master'!M56)</f>
        <v/>
      </c>
      <c r="M59" s="213">
        <f>IF('Employee Master'!B56="","",'Employee Master'!N56)</f>
        <v/>
      </c>
      <c r="N59" s="213">
        <f>IF('Employee Master'!B56="","",'Employee Master'!R56)</f>
        <v/>
      </c>
      <c r="O59" s="213">
        <f>IF('Employee Master'!B56="","",'Employee Master'!S56)</f>
        <v/>
      </c>
      <c r="P59" s="213">
        <f>IF('Employee Master'!B56="","",'Employee Master'!AD56)</f>
        <v/>
      </c>
    </row>
    <row r="60" ht="15" customHeight="1" s="120">
      <c r="A60" s="213">
        <f>IF('Employee Master'!B57="","",IF(AND('Employee Master'!AD57="Y",OR('Employee Master'!C57="3:45 AM",'Employee Master'!C57="5:45 AM"),'Employee Master'!E57="N"),"Y","N"))</f>
        <v/>
      </c>
      <c r="B60" s="213">
        <f>IF('Employee Master'!B57="","",'Employee Master'!B57)</f>
        <v/>
      </c>
      <c r="C60" s="213">
        <f>IF('Employee Master'!B57="","",'Employee Master'!C57)</f>
        <v/>
      </c>
      <c r="D60" s="213">
        <f>IF('Employee Master'!B57="","",'Employee Master'!E57)</f>
        <v/>
      </c>
      <c r="E60" s="213">
        <f>IF('Employee Master'!B57="","",'Employee Master'!F57)</f>
        <v/>
      </c>
      <c r="F60" s="213">
        <f>IF('Employee Master'!B57="","",'Employee Master'!P57)</f>
        <v/>
      </c>
      <c r="G60" s="213">
        <f>IF('Employee Master'!B57="","",'Employee Master'!J57)</f>
        <v/>
      </c>
      <c r="H60" s="213">
        <f>IF('Employee Master'!B57="","",'Employee Master'!I57)</f>
        <v/>
      </c>
      <c r="I60" s="213">
        <f>IF('Employee Master'!B57="","",'Employee Master'!K57)</f>
        <v/>
      </c>
      <c r="J60" s="213">
        <f>IF('Employee Master'!B57="","",'Employee Master'!L57)</f>
        <v/>
      </c>
      <c r="K60" s="213">
        <f>IF('Employee Master'!B57="","",'Employee Master'!T57)</f>
        <v/>
      </c>
      <c r="L60" s="213">
        <f>IF('Employee Master'!B57="","",'Employee Master'!M57)</f>
        <v/>
      </c>
      <c r="M60" s="213">
        <f>IF('Employee Master'!B57="","",'Employee Master'!N57)</f>
        <v/>
      </c>
      <c r="N60" s="213">
        <f>IF('Employee Master'!B57="","",'Employee Master'!R57)</f>
        <v/>
      </c>
      <c r="O60" s="213">
        <f>IF('Employee Master'!B57="","",'Employee Master'!S57)</f>
        <v/>
      </c>
      <c r="P60" s="213">
        <f>IF('Employee Master'!B57="","",'Employee Master'!AD57)</f>
        <v/>
      </c>
    </row>
    <row r="61" ht="15" customHeight="1" s="120">
      <c r="A61" s="213">
        <f>IF('Employee Master'!B58="","",IF(AND('Employee Master'!AD58="Y",OR('Employee Master'!C58="3:45 AM",'Employee Master'!C58="5:45 AM"),'Employee Master'!E58="N"),"Y","N"))</f>
        <v/>
      </c>
      <c r="B61" s="213">
        <f>IF('Employee Master'!B58="","",'Employee Master'!B58)</f>
        <v/>
      </c>
      <c r="C61" s="213">
        <f>IF('Employee Master'!B58="","",'Employee Master'!C58)</f>
        <v/>
      </c>
      <c r="D61" s="213">
        <f>IF('Employee Master'!B58="","",'Employee Master'!E58)</f>
        <v/>
      </c>
      <c r="E61" s="213">
        <f>IF('Employee Master'!B58="","",'Employee Master'!F58)</f>
        <v/>
      </c>
      <c r="F61" s="213">
        <f>IF('Employee Master'!B58="","",'Employee Master'!P58)</f>
        <v/>
      </c>
      <c r="G61" s="213">
        <f>IF('Employee Master'!B58="","",'Employee Master'!J58)</f>
        <v/>
      </c>
      <c r="H61" s="213">
        <f>IF('Employee Master'!B58="","",'Employee Master'!I58)</f>
        <v/>
      </c>
      <c r="I61" s="213">
        <f>IF('Employee Master'!B58="","",'Employee Master'!K58)</f>
        <v/>
      </c>
      <c r="J61" s="213">
        <f>IF('Employee Master'!B58="","",'Employee Master'!L58)</f>
        <v/>
      </c>
      <c r="K61" s="213">
        <f>IF('Employee Master'!B58="","",'Employee Master'!T58)</f>
        <v/>
      </c>
      <c r="L61" s="213">
        <f>IF('Employee Master'!B58="","",'Employee Master'!M58)</f>
        <v/>
      </c>
      <c r="M61" s="213">
        <f>IF('Employee Master'!B58="","",'Employee Master'!N58)</f>
        <v/>
      </c>
      <c r="N61" s="213">
        <f>IF('Employee Master'!B58="","",'Employee Master'!R58)</f>
        <v/>
      </c>
      <c r="O61" s="213">
        <f>IF('Employee Master'!B58="","",'Employee Master'!S58)</f>
        <v/>
      </c>
      <c r="P61" s="213">
        <f>IF('Employee Master'!B58="","",'Employee Master'!AD58)</f>
        <v/>
      </c>
    </row>
    <row r="62" ht="15" customHeight="1" s="120">
      <c r="A62" s="213">
        <f>IF('Employee Master'!B59="","",IF(AND('Employee Master'!AD59="Y",OR('Employee Master'!C59="3:45 AM",'Employee Master'!C59="5:45 AM"),'Employee Master'!E59="N"),"Y","N"))</f>
        <v/>
      </c>
      <c r="B62" s="213">
        <f>IF('Employee Master'!B59="","",'Employee Master'!B59)</f>
        <v/>
      </c>
      <c r="C62" s="213">
        <f>IF('Employee Master'!B59="","",'Employee Master'!C59)</f>
        <v/>
      </c>
      <c r="D62" s="213">
        <f>IF('Employee Master'!B59="","",'Employee Master'!E59)</f>
        <v/>
      </c>
      <c r="E62" s="213">
        <f>IF('Employee Master'!B59="","",'Employee Master'!F59)</f>
        <v/>
      </c>
      <c r="F62" s="213">
        <f>IF('Employee Master'!B59="","",'Employee Master'!P59)</f>
        <v/>
      </c>
      <c r="G62" s="213">
        <f>IF('Employee Master'!B59="","",'Employee Master'!J59)</f>
        <v/>
      </c>
      <c r="H62" s="213">
        <f>IF('Employee Master'!B59="","",'Employee Master'!I59)</f>
        <v/>
      </c>
      <c r="I62" s="213">
        <f>IF('Employee Master'!B59="","",'Employee Master'!K59)</f>
        <v/>
      </c>
      <c r="J62" s="213">
        <f>IF('Employee Master'!B59="","",'Employee Master'!L59)</f>
        <v/>
      </c>
      <c r="K62" s="213">
        <f>IF('Employee Master'!B59="","",'Employee Master'!T59)</f>
        <v/>
      </c>
      <c r="L62" s="213">
        <f>IF('Employee Master'!B59="","",'Employee Master'!M59)</f>
        <v/>
      </c>
      <c r="M62" s="213">
        <f>IF('Employee Master'!B59="","",'Employee Master'!N59)</f>
        <v/>
      </c>
      <c r="N62" s="213">
        <f>IF('Employee Master'!B59="","",'Employee Master'!R59)</f>
        <v/>
      </c>
      <c r="O62" s="213">
        <f>IF('Employee Master'!B59="","",'Employee Master'!S59)</f>
        <v/>
      </c>
      <c r="P62" s="213">
        <f>IF('Employee Master'!B59="","",'Employee Master'!AD59)</f>
        <v/>
      </c>
    </row>
    <row r="63" ht="15" customHeight="1" s="120">
      <c r="A63" s="213">
        <f>IF('Employee Master'!B60="","",IF(AND('Employee Master'!AD60="Y",OR('Employee Master'!C60="3:45 AM",'Employee Master'!C60="5:45 AM"),'Employee Master'!E60="N"),"Y","N"))</f>
        <v/>
      </c>
      <c r="B63" s="213">
        <f>IF('Employee Master'!B60="","",'Employee Master'!B60)</f>
        <v/>
      </c>
      <c r="C63" s="213">
        <f>IF('Employee Master'!B60="","",'Employee Master'!C60)</f>
        <v/>
      </c>
      <c r="D63" s="213">
        <f>IF('Employee Master'!B60="","",'Employee Master'!E60)</f>
        <v/>
      </c>
      <c r="E63" s="213">
        <f>IF('Employee Master'!B60="","",'Employee Master'!F60)</f>
        <v/>
      </c>
      <c r="F63" s="213">
        <f>IF('Employee Master'!B60="","",'Employee Master'!P60)</f>
        <v/>
      </c>
      <c r="G63" s="213">
        <f>IF('Employee Master'!B60="","",'Employee Master'!J60)</f>
        <v/>
      </c>
      <c r="H63" s="213">
        <f>IF('Employee Master'!B60="","",'Employee Master'!I60)</f>
        <v/>
      </c>
      <c r="I63" s="213">
        <f>IF('Employee Master'!B60="","",'Employee Master'!K60)</f>
        <v/>
      </c>
      <c r="J63" s="213">
        <f>IF('Employee Master'!B60="","",'Employee Master'!L60)</f>
        <v/>
      </c>
      <c r="K63" s="213">
        <f>IF('Employee Master'!B60="","",'Employee Master'!T60)</f>
        <v/>
      </c>
      <c r="L63" s="213">
        <f>IF('Employee Master'!B60="","",'Employee Master'!M60)</f>
        <v/>
      </c>
      <c r="M63" s="213">
        <f>IF('Employee Master'!B60="","",'Employee Master'!N60)</f>
        <v/>
      </c>
      <c r="N63" s="213">
        <f>IF('Employee Master'!B60="","",'Employee Master'!R60)</f>
        <v/>
      </c>
      <c r="O63" s="213">
        <f>IF('Employee Master'!B60="","",'Employee Master'!S60)</f>
        <v/>
      </c>
      <c r="P63" s="213">
        <f>IF('Employee Master'!B60="","",'Employee Master'!AD60)</f>
        <v/>
      </c>
    </row>
    <row r="64" ht="15" customHeight="1" s="120">
      <c r="A64" s="213">
        <f>IF('Employee Master'!B61="","",IF(AND('Employee Master'!AD61="Y",OR('Employee Master'!C61="3:45 AM",'Employee Master'!C61="5:45 AM"),'Employee Master'!E61="N"),"Y","N"))</f>
        <v/>
      </c>
      <c r="B64" s="213">
        <f>IF('Employee Master'!B61="","",'Employee Master'!B61)</f>
        <v/>
      </c>
      <c r="C64" s="213">
        <f>IF('Employee Master'!B61="","",'Employee Master'!C61)</f>
        <v/>
      </c>
      <c r="D64" s="213">
        <f>IF('Employee Master'!B61="","",'Employee Master'!E61)</f>
        <v/>
      </c>
      <c r="E64" s="213">
        <f>IF('Employee Master'!B61="","",'Employee Master'!F61)</f>
        <v/>
      </c>
      <c r="F64" s="213">
        <f>IF('Employee Master'!B61="","",'Employee Master'!P61)</f>
        <v/>
      </c>
      <c r="G64" s="213">
        <f>IF('Employee Master'!B61="","",'Employee Master'!J61)</f>
        <v/>
      </c>
      <c r="H64" s="213">
        <f>IF('Employee Master'!B61="","",'Employee Master'!I61)</f>
        <v/>
      </c>
      <c r="I64" s="213">
        <f>IF('Employee Master'!B61="","",'Employee Master'!K61)</f>
        <v/>
      </c>
      <c r="J64" s="213">
        <f>IF('Employee Master'!B61="","",'Employee Master'!L61)</f>
        <v/>
      </c>
      <c r="K64" s="213">
        <f>IF('Employee Master'!B61="","",'Employee Master'!T61)</f>
        <v/>
      </c>
      <c r="L64" s="213">
        <f>IF('Employee Master'!B61="","",'Employee Master'!M61)</f>
        <v/>
      </c>
      <c r="M64" s="213">
        <f>IF('Employee Master'!B61="","",'Employee Master'!N61)</f>
        <v/>
      </c>
      <c r="N64" s="213">
        <f>IF('Employee Master'!B61="","",'Employee Master'!R61)</f>
        <v/>
      </c>
      <c r="O64" s="213">
        <f>IF('Employee Master'!B61="","",'Employee Master'!S61)</f>
        <v/>
      </c>
      <c r="P64" s="213">
        <f>IF('Employee Master'!B61="","",'Employee Master'!AD61)</f>
        <v/>
      </c>
    </row>
    <row r="65" ht="15" customHeight="1" s="120">
      <c r="A65" s="213">
        <f>IF('Employee Master'!B62="","",IF(AND('Employee Master'!AD62="Y",OR('Employee Master'!C62="3:45 AM",'Employee Master'!C62="5:45 AM"),'Employee Master'!E62="N"),"Y","N"))</f>
        <v/>
      </c>
      <c r="B65" s="213">
        <f>IF('Employee Master'!B62="","",'Employee Master'!B62)</f>
        <v/>
      </c>
      <c r="C65" s="213">
        <f>IF('Employee Master'!B62="","",'Employee Master'!C62)</f>
        <v/>
      </c>
      <c r="D65" s="213">
        <f>IF('Employee Master'!B62="","",'Employee Master'!E62)</f>
        <v/>
      </c>
      <c r="E65" s="213">
        <f>IF('Employee Master'!B62="","",'Employee Master'!F62)</f>
        <v/>
      </c>
      <c r="F65" s="213">
        <f>IF('Employee Master'!B62="","",'Employee Master'!P62)</f>
        <v/>
      </c>
      <c r="G65" s="213">
        <f>IF('Employee Master'!B62="","",'Employee Master'!J62)</f>
        <v/>
      </c>
      <c r="H65" s="213">
        <f>IF('Employee Master'!B62="","",'Employee Master'!I62)</f>
        <v/>
      </c>
      <c r="I65" s="213">
        <f>IF('Employee Master'!B62="","",'Employee Master'!K62)</f>
        <v/>
      </c>
      <c r="J65" s="213">
        <f>IF('Employee Master'!B62="","",'Employee Master'!L62)</f>
        <v/>
      </c>
      <c r="K65" s="213">
        <f>IF('Employee Master'!B62="","",'Employee Master'!T62)</f>
        <v/>
      </c>
      <c r="L65" s="213">
        <f>IF('Employee Master'!B62="","",'Employee Master'!M62)</f>
        <v/>
      </c>
      <c r="M65" s="213">
        <f>IF('Employee Master'!B62="","",'Employee Master'!N62)</f>
        <v/>
      </c>
      <c r="N65" s="213">
        <f>IF('Employee Master'!B62="","",'Employee Master'!R62)</f>
        <v/>
      </c>
      <c r="O65" s="213">
        <f>IF('Employee Master'!B62="","",'Employee Master'!S62)</f>
        <v/>
      </c>
      <c r="P65" s="213">
        <f>IF('Employee Master'!B62="","",'Employee Master'!AD62)</f>
        <v/>
      </c>
    </row>
    <row r="66" ht="15" customHeight="1" s="120">
      <c r="A66" s="213">
        <f>IF('Employee Master'!B63="","",IF(AND('Employee Master'!AD63="Y",OR('Employee Master'!C63="3:45 AM",'Employee Master'!C63="5:45 AM"),'Employee Master'!E63="N"),"Y","N"))</f>
        <v/>
      </c>
      <c r="B66" s="213">
        <f>IF('Employee Master'!B63="","",'Employee Master'!B63)</f>
        <v/>
      </c>
      <c r="C66" s="213">
        <f>IF('Employee Master'!B63="","",'Employee Master'!C63)</f>
        <v/>
      </c>
      <c r="D66" s="213">
        <f>IF('Employee Master'!B63="","",'Employee Master'!E63)</f>
        <v/>
      </c>
      <c r="E66" s="213">
        <f>IF('Employee Master'!B63="","",'Employee Master'!F63)</f>
        <v/>
      </c>
      <c r="F66" s="213">
        <f>IF('Employee Master'!B63="","",'Employee Master'!P63)</f>
        <v/>
      </c>
      <c r="G66" s="213">
        <f>IF('Employee Master'!B63="","",'Employee Master'!J63)</f>
        <v/>
      </c>
      <c r="H66" s="213">
        <f>IF('Employee Master'!B63="","",'Employee Master'!I63)</f>
        <v/>
      </c>
      <c r="I66" s="213">
        <f>IF('Employee Master'!B63="","",'Employee Master'!K63)</f>
        <v/>
      </c>
      <c r="J66" s="213">
        <f>IF('Employee Master'!B63="","",'Employee Master'!L63)</f>
        <v/>
      </c>
      <c r="K66" s="213">
        <f>IF('Employee Master'!B63="","",'Employee Master'!T63)</f>
        <v/>
      </c>
      <c r="L66" s="213">
        <f>IF('Employee Master'!B63="","",'Employee Master'!M63)</f>
        <v/>
      </c>
      <c r="M66" s="213">
        <f>IF('Employee Master'!B63="","",'Employee Master'!N63)</f>
        <v/>
      </c>
      <c r="N66" s="213">
        <f>IF('Employee Master'!B63="","",'Employee Master'!R63)</f>
        <v/>
      </c>
      <c r="O66" s="213">
        <f>IF('Employee Master'!B63="","",'Employee Master'!S63)</f>
        <v/>
      </c>
      <c r="P66" s="213">
        <f>IF('Employee Master'!B63="","",'Employee Master'!AD63)</f>
        <v/>
      </c>
    </row>
    <row r="67" ht="15" customHeight="1" s="120">
      <c r="A67" s="213">
        <f>IF('Employee Master'!B64="","",IF(AND('Employee Master'!AD64="Y",OR('Employee Master'!C64="3:45 AM",'Employee Master'!C64="5:45 AM"),'Employee Master'!E64="N"),"Y","N"))</f>
        <v/>
      </c>
      <c r="B67" s="213">
        <f>IF('Employee Master'!B64="","",'Employee Master'!B64)</f>
        <v/>
      </c>
      <c r="C67" s="213">
        <f>IF('Employee Master'!B64="","",'Employee Master'!C64)</f>
        <v/>
      </c>
      <c r="D67" s="213">
        <f>IF('Employee Master'!B64="","",'Employee Master'!E64)</f>
        <v/>
      </c>
      <c r="E67" s="213">
        <f>IF('Employee Master'!B64="","",'Employee Master'!F64)</f>
        <v/>
      </c>
      <c r="F67" s="213">
        <f>IF('Employee Master'!B64="","",'Employee Master'!P64)</f>
        <v/>
      </c>
      <c r="G67" s="213">
        <f>IF('Employee Master'!B64="","",'Employee Master'!J64)</f>
        <v/>
      </c>
      <c r="H67" s="213">
        <f>IF('Employee Master'!B64="","",'Employee Master'!I64)</f>
        <v/>
      </c>
      <c r="I67" s="213">
        <f>IF('Employee Master'!B64="","",'Employee Master'!K64)</f>
        <v/>
      </c>
      <c r="J67" s="213">
        <f>IF('Employee Master'!B64="","",'Employee Master'!L64)</f>
        <v/>
      </c>
      <c r="K67" s="213">
        <f>IF('Employee Master'!B64="","",'Employee Master'!T64)</f>
        <v/>
      </c>
      <c r="L67" s="213">
        <f>IF('Employee Master'!B64="","",'Employee Master'!M64)</f>
        <v/>
      </c>
      <c r="M67" s="213">
        <f>IF('Employee Master'!B64="","",'Employee Master'!N64)</f>
        <v/>
      </c>
      <c r="N67" s="213">
        <f>IF('Employee Master'!B64="","",'Employee Master'!R64)</f>
        <v/>
      </c>
      <c r="O67" s="213">
        <f>IF('Employee Master'!B64="","",'Employee Master'!S64)</f>
        <v/>
      </c>
      <c r="P67" s="213">
        <f>IF('Employee Master'!B64="","",'Employee Master'!AD64)</f>
        <v/>
      </c>
    </row>
    <row r="68" ht="15" customHeight="1" s="120">
      <c r="A68" s="213">
        <f>IF('Employee Master'!B65="","",IF(AND('Employee Master'!AD65="Y",OR('Employee Master'!C65="3:45 AM",'Employee Master'!C65="5:45 AM"),'Employee Master'!E65="N"),"Y","N"))</f>
        <v/>
      </c>
      <c r="B68" s="213">
        <f>IF('Employee Master'!B65="","",'Employee Master'!B65)</f>
        <v/>
      </c>
      <c r="C68" s="213">
        <f>IF('Employee Master'!B65="","",'Employee Master'!C65)</f>
        <v/>
      </c>
      <c r="D68" s="213">
        <f>IF('Employee Master'!B65="","",'Employee Master'!E65)</f>
        <v/>
      </c>
      <c r="E68" s="213">
        <f>IF('Employee Master'!B65="","",'Employee Master'!F65)</f>
        <v/>
      </c>
      <c r="F68" s="213">
        <f>IF('Employee Master'!B65="","",'Employee Master'!P65)</f>
        <v/>
      </c>
      <c r="G68" s="213">
        <f>IF('Employee Master'!B65="","",'Employee Master'!J65)</f>
        <v/>
      </c>
      <c r="H68" s="213">
        <f>IF('Employee Master'!B65="","",'Employee Master'!I65)</f>
        <v/>
      </c>
      <c r="I68" s="213">
        <f>IF('Employee Master'!B65="","",'Employee Master'!K65)</f>
        <v/>
      </c>
      <c r="J68" s="213">
        <f>IF('Employee Master'!B65="","",'Employee Master'!L65)</f>
        <v/>
      </c>
      <c r="K68" s="213">
        <f>IF('Employee Master'!B65="","",'Employee Master'!T65)</f>
        <v/>
      </c>
      <c r="L68" s="213">
        <f>IF('Employee Master'!B65="","",'Employee Master'!M65)</f>
        <v/>
      </c>
      <c r="M68" s="213">
        <f>IF('Employee Master'!B65="","",'Employee Master'!N65)</f>
        <v/>
      </c>
      <c r="N68" s="213">
        <f>IF('Employee Master'!B65="","",'Employee Master'!R65)</f>
        <v/>
      </c>
      <c r="O68" s="213">
        <f>IF('Employee Master'!B65="","",'Employee Master'!S65)</f>
        <v/>
      </c>
      <c r="P68" s="213">
        <f>IF('Employee Master'!B65="","",'Employee Master'!AD65)</f>
        <v/>
      </c>
    </row>
    <row r="69" ht="15" customHeight="1" s="120">
      <c r="A69" s="213">
        <f>IF('Employee Master'!B66="","",IF(AND('Employee Master'!AD66="Y",OR('Employee Master'!C66="3:45 AM",'Employee Master'!C66="5:45 AM"),'Employee Master'!E66="N"),"Y","N"))</f>
        <v/>
      </c>
      <c r="B69" s="213">
        <f>IF('Employee Master'!B66="","",'Employee Master'!B66)</f>
        <v/>
      </c>
      <c r="C69" s="213">
        <f>IF('Employee Master'!B66="","",'Employee Master'!C66)</f>
        <v/>
      </c>
      <c r="D69" s="213">
        <f>IF('Employee Master'!B66="","",'Employee Master'!E66)</f>
        <v/>
      </c>
      <c r="E69" s="213">
        <f>IF('Employee Master'!B66="","",'Employee Master'!F66)</f>
        <v/>
      </c>
      <c r="F69" s="213">
        <f>IF('Employee Master'!B66="","",'Employee Master'!P66)</f>
        <v/>
      </c>
      <c r="G69" s="213">
        <f>IF('Employee Master'!B66="","",'Employee Master'!J66)</f>
        <v/>
      </c>
      <c r="H69" s="213">
        <f>IF('Employee Master'!B66="","",'Employee Master'!I66)</f>
        <v/>
      </c>
      <c r="I69" s="213">
        <f>IF('Employee Master'!B66="","",'Employee Master'!K66)</f>
        <v/>
      </c>
      <c r="J69" s="213">
        <f>IF('Employee Master'!B66="","",'Employee Master'!L66)</f>
        <v/>
      </c>
      <c r="K69" s="213">
        <f>IF('Employee Master'!B66="","",'Employee Master'!T66)</f>
        <v/>
      </c>
      <c r="L69" s="213">
        <f>IF('Employee Master'!B66="","",'Employee Master'!M66)</f>
        <v/>
      </c>
      <c r="M69" s="213">
        <f>IF('Employee Master'!B66="","",'Employee Master'!N66)</f>
        <v/>
      </c>
      <c r="N69" s="213">
        <f>IF('Employee Master'!B66="","",'Employee Master'!R66)</f>
        <v/>
      </c>
      <c r="O69" s="213">
        <f>IF('Employee Master'!B66="","",'Employee Master'!S66)</f>
        <v/>
      </c>
      <c r="P69" s="213">
        <f>IF('Employee Master'!B66="","",'Employee Master'!AD66)</f>
        <v/>
      </c>
    </row>
    <row r="70" ht="15" customHeight="1" s="120">
      <c r="A70" s="213">
        <f>IF('Employee Master'!B67="","",IF(AND('Employee Master'!AD67="Y",OR('Employee Master'!C67="3:45 AM",'Employee Master'!C67="5:45 AM"),'Employee Master'!E67="N"),"Y","N"))</f>
        <v/>
      </c>
      <c r="B70" s="213">
        <f>IF('Employee Master'!B67="","",'Employee Master'!B67)</f>
        <v/>
      </c>
      <c r="C70" s="213">
        <f>IF('Employee Master'!B67="","",'Employee Master'!C67)</f>
        <v/>
      </c>
      <c r="D70" s="213">
        <f>IF('Employee Master'!B67="","",'Employee Master'!E67)</f>
        <v/>
      </c>
      <c r="E70" s="213">
        <f>IF('Employee Master'!B67="","",'Employee Master'!F67)</f>
        <v/>
      </c>
      <c r="F70" s="213">
        <f>IF('Employee Master'!B67="","",'Employee Master'!P67)</f>
        <v/>
      </c>
      <c r="G70" s="213">
        <f>IF('Employee Master'!B67="","",'Employee Master'!J67)</f>
        <v/>
      </c>
      <c r="H70" s="213">
        <f>IF('Employee Master'!B67="","",'Employee Master'!I67)</f>
        <v/>
      </c>
      <c r="I70" s="213">
        <f>IF('Employee Master'!B67="","",'Employee Master'!K67)</f>
        <v/>
      </c>
      <c r="J70" s="213">
        <f>IF('Employee Master'!B67="","",'Employee Master'!L67)</f>
        <v/>
      </c>
      <c r="K70" s="213">
        <f>IF('Employee Master'!B67="","",'Employee Master'!T67)</f>
        <v/>
      </c>
      <c r="L70" s="213">
        <f>IF('Employee Master'!B67="","",'Employee Master'!M67)</f>
        <v/>
      </c>
      <c r="M70" s="213">
        <f>IF('Employee Master'!B67="","",'Employee Master'!N67)</f>
        <v/>
      </c>
      <c r="N70" s="213">
        <f>IF('Employee Master'!B67="","",'Employee Master'!R67)</f>
        <v/>
      </c>
      <c r="O70" s="213">
        <f>IF('Employee Master'!B67="","",'Employee Master'!S67)</f>
        <v/>
      </c>
      <c r="P70" s="213">
        <f>IF('Employee Master'!B67="","",'Employee Master'!AD67)</f>
        <v/>
      </c>
    </row>
    <row r="71" ht="15" customHeight="1" s="120">
      <c r="A71" s="213">
        <f>IF('Employee Master'!B68="","",IF(AND('Employee Master'!AD68="Y",OR('Employee Master'!C68="3:45 AM",'Employee Master'!C68="5:45 AM"),'Employee Master'!E68="N"),"Y","N"))</f>
        <v/>
      </c>
      <c r="B71" s="213">
        <f>IF('Employee Master'!B68="","",'Employee Master'!B68)</f>
        <v/>
      </c>
      <c r="C71" s="213">
        <f>IF('Employee Master'!B68="","",'Employee Master'!C68)</f>
        <v/>
      </c>
      <c r="D71" s="213">
        <f>IF('Employee Master'!B68="","",'Employee Master'!E68)</f>
        <v/>
      </c>
      <c r="E71" s="213">
        <f>IF('Employee Master'!B68="","",'Employee Master'!F68)</f>
        <v/>
      </c>
      <c r="F71" s="213">
        <f>IF('Employee Master'!B68="","",'Employee Master'!P68)</f>
        <v/>
      </c>
      <c r="G71" s="213">
        <f>IF('Employee Master'!B68="","",'Employee Master'!J68)</f>
        <v/>
      </c>
      <c r="H71" s="213">
        <f>IF('Employee Master'!B68="","",'Employee Master'!I68)</f>
        <v/>
      </c>
      <c r="I71" s="213">
        <f>IF('Employee Master'!B68="","",'Employee Master'!K68)</f>
        <v/>
      </c>
      <c r="J71" s="213">
        <f>IF('Employee Master'!B68="","",'Employee Master'!L68)</f>
        <v/>
      </c>
      <c r="K71" s="213">
        <f>IF('Employee Master'!B68="","",'Employee Master'!T68)</f>
        <v/>
      </c>
      <c r="L71" s="213">
        <f>IF('Employee Master'!B68="","",'Employee Master'!M68)</f>
        <v/>
      </c>
      <c r="M71" s="213">
        <f>IF('Employee Master'!B68="","",'Employee Master'!N68)</f>
        <v/>
      </c>
      <c r="N71" s="213">
        <f>IF('Employee Master'!B68="","",'Employee Master'!R68)</f>
        <v/>
      </c>
      <c r="O71" s="213">
        <f>IF('Employee Master'!B68="","",'Employee Master'!S68)</f>
        <v/>
      </c>
      <c r="P71" s="213">
        <f>IF('Employee Master'!B68="","",'Employee Master'!AD68)</f>
        <v/>
      </c>
    </row>
    <row r="72" ht="15" customHeight="1" s="120">
      <c r="A72" s="213">
        <f>IF('Employee Master'!B69="","",IF(AND('Employee Master'!AD69="Y",OR('Employee Master'!C69="3:45 AM",'Employee Master'!C69="5:45 AM"),'Employee Master'!E69="N"),"Y","N"))</f>
        <v/>
      </c>
      <c r="B72" s="213">
        <f>IF('Employee Master'!B69="","",'Employee Master'!B69)</f>
        <v/>
      </c>
      <c r="C72" s="213">
        <f>IF('Employee Master'!B69="","",'Employee Master'!C69)</f>
        <v/>
      </c>
      <c r="D72" s="213">
        <f>IF('Employee Master'!B69="","",'Employee Master'!E69)</f>
        <v/>
      </c>
      <c r="E72" s="213">
        <f>IF('Employee Master'!B69="","",'Employee Master'!F69)</f>
        <v/>
      </c>
      <c r="F72" s="213">
        <f>IF('Employee Master'!B69="","",'Employee Master'!P69)</f>
        <v/>
      </c>
      <c r="G72" s="213">
        <f>IF('Employee Master'!B69="","",'Employee Master'!J69)</f>
        <v/>
      </c>
      <c r="H72" s="213">
        <f>IF('Employee Master'!B69="","",'Employee Master'!I69)</f>
        <v/>
      </c>
      <c r="I72" s="213">
        <f>IF('Employee Master'!B69="","",'Employee Master'!K69)</f>
        <v/>
      </c>
      <c r="J72" s="213">
        <f>IF('Employee Master'!B69="","",'Employee Master'!L69)</f>
        <v/>
      </c>
      <c r="K72" s="213">
        <f>IF('Employee Master'!B69="","",'Employee Master'!T69)</f>
        <v/>
      </c>
      <c r="L72" s="213">
        <f>IF('Employee Master'!B69="","",'Employee Master'!M69)</f>
        <v/>
      </c>
      <c r="M72" s="213">
        <f>IF('Employee Master'!B69="","",'Employee Master'!N69)</f>
        <v/>
      </c>
      <c r="N72" s="213">
        <f>IF('Employee Master'!B69="","",'Employee Master'!R69)</f>
        <v/>
      </c>
      <c r="O72" s="213">
        <f>IF('Employee Master'!B69="","",'Employee Master'!S69)</f>
        <v/>
      </c>
      <c r="P72" s="213">
        <f>IF('Employee Master'!B69="","",'Employee Master'!AD69)</f>
        <v/>
      </c>
    </row>
    <row r="73" ht="15" customHeight="1" s="120">
      <c r="A73" s="213">
        <f>IF('Employee Master'!B70="","",IF(AND('Employee Master'!AD70="Y",OR('Employee Master'!C70="3:45 AM",'Employee Master'!C70="5:45 AM"),'Employee Master'!E70="N"),"Y","N"))</f>
        <v/>
      </c>
      <c r="B73" s="213">
        <f>IF('Employee Master'!B70="","",'Employee Master'!B70)</f>
        <v/>
      </c>
      <c r="C73" s="213">
        <f>IF('Employee Master'!B70="","",'Employee Master'!C70)</f>
        <v/>
      </c>
      <c r="D73" s="213">
        <f>IF('Employee Master'!B70="","",'Employee Master'!E70)</f>
        <v/>
      </c>
      <c r="E73" s="213">
        <f>IF('Employee Master'!B70="","",'Employee Master'!F70)</f>
        <v/>
      </c>
      <c r="F73" s="213">
        <f>IF('Employee Master'!B70="","",'Employee Master'!P70)</f>
        <v/>
      </c>
      <c r="G73" s="213">
        <f>IF('Employee Master'!B70="","",'Employee Master'!J70)</f>
        <v/>
      </c>
      <c r="H73" s="213">
        <f>IF('Employee Master'!B70="","",'Employee Master'!I70)</f>
        <v/>
      </c>
      <c r="I73" s="213">
        <f>IF('Employee Master'!B70="","",'Employee Master'!K70)</f>
        <v/>
      </c>
      <c r="J73" s="213">
        <f>IF('Employee Master'!B70="","",'Employee Master'!L70)</f>
        <v/>
      </c>
      <c r="K73" s="213">
        <f>IF('Employee Master'!B70="","",'Employee Master'!T70)</f>
        <v/>
      </c>
      <c r="L73" s="213">
        <f>IF('Employee Master'!B70="","",'Employee Master'!M70)</f>
        <v/>
      </c>
      <c r="M73" s="213">
        <f>IF('Employee Master'!B70="","",'Employee Master'!N70)</f>
        <v/>
      </c>
      <c r="N73" s="213">
        <f>IF('Employee Master'!B70="","",'Employee Master'!R70)</f>
        <v/>
      </c>
      <c r="O73" s="213">
        <f>IF('Employee Master'!B70="","",'Employee Master'!S70)</f>
        <v/>
      </c>
      <c r="P73" s="213">
        <f>IF('Employee Master'!B70="","",'Employee Master'!AD70)</f>
        <v/>
      </c>
    </row>
    <row r="74" ht="15" customHeight="1" s="120">
      <c r="A74" s="213">
        <f>IF('Employee Master'!B71="","",IF(AND('Employee Master'!AD71="Y",OR('Employee Master'!C71="3:45 AM",'Employee Master'!C71="5:45 AM"),'Employee Master'!E71="N"),"Y","N"))</f>
        <v/>
      </c>
      <c r="B74" s="213">
        <f>IF('Employee Master'!B71="","",'Employee Master'!B71)</f>
        <v/>
      </c>
      <c r="C74" s="213">
        <f>IF('Employee Master'!B71="","",'Employee Master'!C71)</f>
        <v/>
      </c>
      <c r="D74" s="213">
        <f>IF('Employee Master'!B71="","",'Employee Master'!E71)</f>
        <v/>
      </c>
      <c r="E74" s="213">
        <f>IF('Employee Master'!B71="","",'Employee Master'!F71)</f>
        <v/>
      </c>
      <c r="F74" s="213">
        <f>IF('Employee Master'!B71="","",'Employee Master'!P71)</f>
        <v/>
      </c>
      <c r="G74" s="213">
        <f>IF('Employee Master'!B71="","",'Employee Master'!J71)</f>
        <v/>
      </c>
      <c r="H74" s="213">
        <f>IF('Employee Master'!B71="","",'Employee Master'!I71)</f>
        <v/>
      </c>
      <c r="I74" s="213">
        <f>IF('Employee Master'!B71="","",'Employee Master'!K71)</f>
        <v/>
      </c>
      <c r="J74" s="213">
        <f>IF('Employee Master'!B71="","",'Employee Master'!L71)</f>
        <v/>
      </c>
      <c r="K74" s="213">
        <f>IF('Employee Master'!B71="","",'Employee Master'!T71)</f>
        <v/>
      </c>
      <c r="L74" s="213">
        <f>IF('Employee Master'!B71="","",'Employee Master'!M71)</f>
        <v/>
      </c>
      <c r="M74" s="213">
        <f>IF('Employee Master'!B71="","",'Employee Master'!N71)</f>
        <v/>
      </c>
      <c r="N74" s="213">
        <f>IF('Employee Master'!B71="","",'Employee Master'!R71)</f>
        <v/>
      </c>
      <c r="O74" s="213">
        <f>IF('Employee Master'!B71="","",'Employee Master'!S71)</f>
        <v/>
      </c>
      <c r="P74" s="213">
        <f>IF('Employee Master'!B71="","",'Employee Master'!AD71)</f>
        <v/>
      </c>
    </row>
    <row r="75" ht="15" customHeight="1" s="120">
      <c r="A75" s="213">
        <f>IF('Employee Master'!B72="","",IF(AND('Employee Master'!AD72="Y",OR('Employee Master'!C72="3:45 AM",'Employee Master'!C72="5:45 AM"),'Employee Master'!E72="N"),"Y","N"))</f>
        <v/>
      </c>
      <c r="B75" s="213">
        <f>IF('Employee Master'!B72="","",'Employee Master'!B72)</f>
        <v/>
      </c>
      <c r="C75" s="213">
        <f>IF('Employee Master'!B72="","",'Employee Master'!C72)</f>
        <v/>
      </c>
      <c r="D75" s="213">
        <f>IF('Employee Master'!B72="","",'Employee Master'!E72)</f>
        <v/>
      </c>
      <c r="E75" s="213">
        <f>IF('Employee Master'!B72="","",'Employee Master'!F72)</f>
        <v/>
      </c>
      <c r="F75" s="213">
        <f>IF('Employee Master'!B72="","",'Employee Master'!P72)</f>
        <v/>
      </c>
      <c r="G75" s="213">
        <f>IF('Employee Master'!B72="","",'Employee Master'!J72)</f>
        <v/>
      </c>
      <c r="H75" s="213">
        <f>IF('Employee Master'!B72="","",'Employee Master'!I72)</f>
        <v/>
      </c>
      <c r="I75" s="213">
        <f>IF('Employee Master'!B72="","",'Employee Master'!K72)</f>
        <v/>
      </c>
      <c r="J75" s="213">
        <f>IF('Employee Master'!B72="","",'Employee Master'!L72)</f>
        <v/>
      </c>
      <c r="K75" s="213">
        <f>IF('Employee Master'!B72="","",'Employee Master'!T72)</f>
        <v/>
      </c>
      <c r="L75" s="213">
        <f>IF('Employee Master'!B72="","",'Employee Master'!M72)</f>
        <v/>
      </c>
      <c r="M75" s="213">
        <f>IF('Employee Master'!B72="","",'Employee Master'!N72)</f>
        <v/>
      </c>
      <c r="N75" s="213">
        <f>IF('Employee Master'!B72="","",'Employee Master'!R72)</f>
        <v/>
      </c>
      <c r="O75" s="213">
        <f>IF('Employee Master'!B72="","",'Employee Master'!S72)</f>
        <v/>
      </c>
      <c r="P75" s="213">
        <f>IF('Employee Master'!B72="","",'Employee Master'!AD72)</f>
        <v/>
      </c>
    </row>
    <row r="76" ht="15" customHeight="1" s="120">
      <c r="A76" s="213">
        <f>IF('Employee Master'!B73="","",IF(AND('Employee Master'!AD73="Y",OR('Employee Master'!C73="3:45 AM",'Employee Master'!C73="5:45 AM"),'Employee Master'!E73="N"),"Y","N"))</f>
        <v/>
      </c>
      <c r="B76" s="213">
        <f>IF('Employee Master'!B73="","",'Employee Master'!B73)</f>
        <v/>
      </c>
      <c r="C76" s="213">
        <f>IF('Employee Master'!B73="","",'Employee Master'!C73)</f>
        <v/>
      </c>
      <c r="D76" s="213">
        <f>IF('Employee Master'!B73="","",'Employee Master'!E73)</f>
        <v/>
      </c>
      <c r="E76" s="213">
        <f>IF('Employee Master'!B73="","",'Employee Master'!F73)</f>
        <v/>
      </c>
      <c r="F76" s="213">
        <f>IF('Employee Master'!B73="","",'Employee Master'!P73)</f>
        <v/>
      </c>
      <c r="G76" s="213">
        <f>IF('Employee Master'!B73="","",'Employee Master'!J73)</f>
        <v/>
      </c>
      <c r="H76" s="213">
        <f>IF('Employee Master'!B73="","",'Employee Master'!I73)</f>
        <v/>
      </c>
      <c r="I76" s="213">
        <f>IF('Employee Master'!B73="","",'Employee Master'!K73)</f>
        <v/>
      </c>
      <c r="J76" s="213">
        <f>IF('Employee Master'!B73="","",'Employee Master'!L73)</f>
        <v/>
      </c>
      <c r="K76" s="213">
        <f>IF('Employee Master'!B73="","",'Employee Master'!T73)</f>
        <v/>
      </c>
      <c r="L76" s="213">
        <f>IF('Employee Master'!B73="","",'Employee Master'!M73)</f>
        <v/>
      </c>
      <c r="M76" s="213">
        <f>IF('Employee Master'!B73="","",'Employee Master'!N73)</f>
        <v/>
      </c>
      <c r="N76" s="213">
        <f>IF('Employee Master'!B73="","",'Employee Master'!R73)</f>
        <v/>
      </c>
      <c r="O76" s="213">
        <f>IF('Employee Master'!B73="","",'Employee Master'!S73)</f>
        <v/>
      </c>
      <c r="P76" s="213">
        <f>IF('Employee Master'!B73="","",'Employee Master'!AD73)</f>
        <v/>
      </c>
    </row>
    <row r="77" ht="15" customHeight="1" s="120">
      <c r="A77" s="213">
        <f>IF('Employee Master'!B74="","",IF(AND('Employee Master'!AD74="Y",OR('Employee Master'!C74="3:45 AM",'Employee Master'!C74="5:45 AM"),'Employee Master'!E74="N"),"Y","N"))</f>
        <v/>
      </c>
      <c r="B77" s="213">
        <f>IF('Employee Master'!B74="","",'Employee Master'!B74)</f>
        <v/>
      </c>
      <c r="C77" s="213">
        <f>IF('Employee Master'!B74="","",'Employee Master'!C74)</f>
        <v/>
      </c>
      <c r="D77" s="213">
        <f>IF('Employee Master'!B74="","",'Employee Master'!E74)</f>
        <v/>
      </c>
      <c r="E77" s="213">
        <f>IF('Employee Master'!B74="","",'Employee Master'!F74)</f>
        <v/>
      </c>
      <c r="F77" s="213">
        <f>IF('Employee Master'!B74="","",'Employee Master'!P74)</f>
        <v/>
      </c>
      <c r="G77" s="213">
        <f>IF('Employee Master'!B74="","",'Employee Master'!J74)</f>
        <v/>
      </c>
      <c r="H77" s="213">
        <f>IF('Employee Master'!B74="","",'Employee Master'!I74)</f>
        <v/>
      </c>
      <c r="I77" s="213">
        <f>IF('Employee Master'!B74="","",'Employee Master'!K74)</f>
        <v/>
      </c>
      <c r="J77" s="213">
        <f>IF('Employee Master'!B74="","",'Employee Master'!L74)</f>
        <v/>
      </c>
      <c r="K77" s="213">
        <f>IF('Employee Master'!B74="","",'Employee Master'!T74)</f>
        <v/>
      </c>
      <c r="L77" s="213">
        <f>IF('Employee Master'!B74="","",'Employee Master'!M74)</f>
        <v/>
      </c>
      <c r="M77" s="213">
        <f>IF('Employee Master'!B74="","",'Employee Master'!N74)</f>
        <v/>
      </c>
      <c r="N77" s="213">
        <f>IF('Employee Master'!B74="","",'Employee Master'!R74)</f>
        <v/>
      </c>
      <c r="O77" s="213">
        <f>IF('Employee Master'!B74="","",'Employee Master'!S74)</f>
        <v/>
      </c>
      <c r="P77" s="213">
        <f>IF('Employee Master'!B74="","",'Employee Master'!AD74)</f>
        <v/>
      </c>
    </row>
    <row r="78" ht="15" customHeight="1" s="120">
      <c r="A78" s="213">
        <f>IF('Employee Master'!B75="","",IF(AND('Employee Master'!AD75="Y",OR('Employee Master'!C75="3:45 AM",'Employee Master'!C75="5:45 AM"),'Employee Master'!E75="N"),"Y","N"))</f>
        <v/>
      </c>
      <c r="B78" s="213">
        <f>IF('Employee Master'!B75="","",'Employee Master'!B75)</f>
        <v/>
      </c>
      <c r="C78" s="213">
        <f>IF('Employee Master'!B75="","",'Employee Master'!C75)</f>
        <v/>
      </c>
      <c r="D78" s="213">
        <f>IF('Employee Master'!B75="","",'Employee Master'!E75)</f>
        <v/>
      </c>
      <c r="E78" s="213">
        <f>IF('Employee Master'!B75="","",'Employee Master'!F75)</f>
        <v/>
      </c>
      <c r="F78" s="213">
        <f>IF('Employee Master'!B75="","",'Employee Master'!P75)</f>
        <v/>
      </c>
      <c r="G78" s="213">
        <f>IF('Employee Master'!B75="","",'Employee Master'!J75)</f>
        <v/>
      </c>
      <c r="H78" s="213">
        <f>IF('Employee Master'!B75="","",'Employee Master'!I75)</f>
        <v/>
      </c>
      <c r="I78" s="213">
        <f>IF('Employee Master'!B75="","",'Employee Master'!K75)</f>
        <v/>
      </c>
      <c r="J78" s="213">
        <f>IF('Employee Master'!B75="","",'Employee Master'!L75)</f>
        <v/>
      </c>
      <c r="K78" s="213">
        <f>IF('Employee Master'!B75="","",'Employee Master'!T75)</f>
        <v/>
      </c>
      <c r="L78" s="213">
        <f>IF('Employee Master'!B75="","",'Employee Master'!M75)</f>
        <v/>
      </c>
      <c r="M78" s="213">
        <f>IF('Employee Master'!B75="","",'Employee Master'!N75)</f>
        <v/>
      </c>
      <c r="N78" s="213">
        <f>IF('Employee Master'!B75="","",'Employee Master'!R75)</f>
        <v/>
      </c>
      <c r="O78" s="213">
        <f>IF('Employee Master'!B75="","",'Employee Master'!S75)</f>
        <v/>
      </c>
      <c r="P78" s="213">
        <f>IF('Employee Master'!B75="","",'Employee Master'!AD75)</f>
        <v/>
      </c>
    </row>
    <row r="79" ht="15" customHeight="1" s="120">
      <c r="A79" s="213">
        <f>IF('Employee Master'!B76="","",IF(AND('Employee Master'!AD76="Y",OR('Employee Master'!C76="3:45 AM",'Employee Master'!C76="5:45 AM"),'Employee Master'!E76="N"),"Y","N"))</f>
        <v/>
      </c>
      <c r="B79" s="213">
        <f>IF('Employee Master'!B76="","",'Employee Master'!B76)</f>
        <v/>
      </c>
      <c r="C79" s="213">
        <f>IF('Employee Master'!B76="","",'Employee Master'!C76)</f>
        <v/>
      </c>
      <c r="D79" s="213">
        <f>IF('Employee Master'!B76="","",'Employee Master'!E76)</f>
        <v/>
      </c>
      <c r="E79" s="213">
        <f>IF('Employee Master'!B76="","",'Employee Master'!F76)</f>
        <v/>
      </c>
      <c r="F79" s="213">
        <f>IF('Employee Master'!B76="","",'Employee Master'!P76)</f>
        <v/>
      </c>
      <c r="G79" s="213">
        <f>IF('Employee Master'!B76="","",'Employee Master'!J76)</f>
        <v/>
      </c>
      <c r="H79" s="213">
        <f>IF('Employee Master'!B76="","",'Employee Master'!I76)</f>
        <v/>
      </c>
      <c r="I79" s="213">
        <f>IF('Employee Master'!B76="","",'Employee Master'!K76)</f>
        <v/>
      </c>
      <c r="J79" s="213">
        <f>IF('Employee Master'!B76="","",'Employee Master'!L76)</f>
        <v/>
      </c>
      <c r="K79" s="213">
        <f>IF('Employee Master'!B76="","",'Employee Master'!T76)</f>
        <v/>
      </c>
      <c r="L79" s="213">
        <f>IF('Employee Master'!B76="","",'Employee Master'!M76)</f>
        <v/>
      </c>
      <c r="M79" s="213">
        <f>IF('Employee Master'!B76="","",'Employee Master'!N76)</f>
        <v/>
      </c>
      <c r="N79" s="213">
        <f>IF('Employee Master'!B76="","",'Employee Master'!R76)</f>
        <v/>
      </c>
      <c r="O79" s="213">
        <f>IF('Employee Master'!B76="","",'Employee Master'!S76)</f>
        <v/>
      </c>
      <c r="P79" s="213">
        <f>IF('Employee Master'!B76="","",'Employee Master'!AD76)</f>
        <v/>
      </c>
    </row>
    <row r="80" ht="15" customHeight="1" s="120">
      <c r="A80" s="213">
        <f>IF('Employee Master'!B77="","",IF(AND('Employee Master'!AD77="Y",OR('Employee Master'!C77="3:45 AM",'Employee Master'!C77="5:45 AM"),'Employee Master'!E77="N"),"Y","N"))</f>
        <v/>
      </c>
      <c r="B80" s="213">
        <f>IF('Employee Master'!B77="","",'Employee Master'!B77)</f>
        <v/>
      </c>
      <c r="C80" s="213">
        <f>IF('Employee Master'!B77="","",'Employee Master'!C77)</f>
        <v/>
      </c>
      <c r="D80" s="213">
        <f>IF('Employee Master'!B77="","",'Employee Master'!E77)</f>
        <v/>
      </c>
      <c r="E80" s="213">
        <f>IF('Employee Master'!B77="","",'Employee Master'!F77)</f>
        <v/>
      </c>
      <c r="F80" s="213">
        <f>IF('Employee Master'!B77="","",'Employee Master'!P77)</f>
        <v/>
      </c>
      <c r="G80" s="213">
        <f>IF('Employee Master'!B77="","",'Employee Master'!J77)</f>
        <v/>
      </c>
      <c r="H80" s="213">
        <f>IF('Employee Master'!B77="","",'Employee Master'!I77)</f>
        <v/>
      </c>
      <c r="I80" s="213">
        <f>IF('Employee Master'!B77="","",'Employee Master'!K77)</f>
        <v/>
      </c>
      <c r="J80" s="213">
        <f>IF('Employee Master'!B77="","",'Employee Master'!L77)</f>
        <v/>
      </c>
      <c r="K80" s="213">
        <f>IF('Employee Master'!B77="","",'Employee Master'!T77)</f>
        <v/>
      </c>
      <c r="L80" s="213">
        <f>IF('Employee Master'!B77="","",'Employee Master'!M77)</f>
        <v/>
      </c>
      <c r="M80" s="213">
        <f>IF('Employee Master'!B77="","",'Employee Master'!N77)</f>
        <v/>
      </c>
      <c r="N80" s="213">
        <f>IF('Employee Master'!B77="","",'Employee Master'!R77)</f>
        <v/>
      </c>
      <c r="O80" s="213">
        <f>IF('Employee Master'!B77="","",'Employee Master'!S77)</f>
        <v/>
      </c>
      <c r="P80" s="213">
        <f>IF('Employee Master'!B77="","",'Employee Master'!AD77)</f>
        <v/>
      </c>
    </row>
    <row r="81" ht="15" customHeight="1" s="120">
      <c r="A81" s="213">
        <f>IF('Employee Master'!B78="","",IF(AND('Employee Master'!AD78="Y",OR('Employee Master'!C78="3:45 AM",'Employee Master'!C78="5:45 AM"),'Employee Master'!E78="N"),"Y","N"))</f>
        <v/>
      </c>
      <c r="B81" s="213">
        <f>IF('Employee Master'!B78="","",'Employee Master'!B78)</f>
        <v/>
      </c>
      <c r="C81" s="213">
        <f>IF('Employee Master'!B78="","",'Employee Master'!C78)</f>
        <v/>
      </c>
      <c r="D81" s="213">
        <f>IF('Employee Master'!B78="","",'Employee Master'!E78)</f>
        <v/>
      </c>
      <c r="E81" s="213">
        <f>IF('Employee Master'!B78="","",'Employee Master'!F78)</f>
        <v/>
      </c>
      <c r="F81" s="213">
        <f>IF('Employee Master'!B78="","",'Employee Master'!P78)</f>
        <v/>
      </c>
      <c r="G81" s="213">
        <f>IF('Employee Master'!B78="","",'Employee Master'!J78)</f>
        <v/>
      </c>
      <c r="H81" s="213">
        <f>IF('Employee Master'!B78="","",'Employee Master'!I78)</f>
        <v/>
      </c>
      <c r="I81" s="213">
        <f>IF('Employee Master'!B78="","",'Employee Master'!K78)</f>
        <v/>
      </c>
      <c r="J81" s="213">
        <f>IF('Employee Master'!B78="","",'Employee Master'!L78)</f>
        <v/>
      </c>
      <c r="K81" s="213">
        <f>IF('Employee Master'!B78="","",'Employee Master'!T78)</f>
        <v/>
      </c>
      <c r="L81" s="213">
        <f>IF('Employee Master'!B78="","",'Employee Master'!M78)</f>
        <v/>
      </c>
      <c r="M81" s="213">
        <f>IF('Employee Master'!B78="","",'Employee Master'!N78)</f>
        <v/>
      </c>
      <c r="N81" s="213">
        <f>IF('Employee Master'!B78="","",'Employee Master'!R78)</f>
        <v/>
      </c>
      <c r="O81" s="213">
        <f>IF('Employee Master'!B78="","",'Employee Master'!S78)</f>
        <v/>
      </c>
      <c r="P81" s="213">
        <f>IF('Employee Master'!B78="","",'Employee Master'!AD78)</f>
        <v/>
      </c>
    </row>
    <row r="82" ht="15" customHeight="1" s="120">
      <c r="A82" s="213">
        <f>IF('Employee Master'!B79="","",IF(AND('Employee Master'!AD79="Y",OR('Employee Master'!C79="3:45 AM",'Employee Master'!C79="5:45 AM"),'Employee Master'!E79="N"),"Y","N"))</f>
        <v/>
      </c>
      <c r="B82" s="213">
        <f>IF('Employee Master'!B79="","",'Employee Master'!B79)</f>
        <v/>
      </c>
      <c r="C82" s="213">
        <f>IF('Employee Master'!B79="","",'Employee Master'!C79)</f>
        <v/>
      </c>
      <c r="D82" s="213">
        <f>IF('Employee Master'!B79="","",'Employee Master'!E79)</f>
        <v/>
      </c>
      <c r="E82" s="213">
        <f>IF('Employee Master'!B79="","",'Employee Master'!F79)</f>
        <v/>
      </c>
      <c r="F82" s="213">
        <f>IF('Employee Master'!B79="","",'Employee Master'!P79)</f>
        <v/>
      </c>
      <c r="G82" s="213">
        <f>IF('Employee Master'!B79="","",'Employee Master'!J79)</f>
        <v/>
      </c>
      <c r="H82" s="213">
        <f>IF('Employee Master'!B79="","",'Employee Master'!I79)</f>
        <v/>
      </c>
      <c r="I82" s="213">
        <f>IF('Employee Master'!B79="","",'Employee Master'!K79)</f>
        <v/>
      </c>
      <c r="J82" s="213">
        <f>IF('Employee Master'!B79="","",'Employee Master'!L79)</f>
        <v/>
      </c>
      <c r="K82" s="213">
        <f>IF('Employee Master'!B79="","",'Employee Master'!T79)</f>
        <v/>
      </c>
      <c r="L82" s="213">
        <f>IF('Employee Master'!B79="","",'Employee Master'!M79)</f>
        <v/>
      </c>
      <c r="M82" s="213">
        <f>IF('Employee Master'!B79="","",'Employee Master'!N79)</f>
        <v/>
      </c>
      <c r="N82" s="213">
        <f>IF('Employee Master'!B79="","",'Employee Master'!R79)</f>
        <v/>
      </c>
      <c r="O82" s="213">
        <f>IF('Employee Master'!B79="","",'Employee Master'!S79)</f>
        <v/>
      </c>
      <c r="P82" s="213">
        <f>IF('Employee Master'!B79="","",'Employee Master'!AD79)</f>
        <v/>
      </c>
    </row>
    <row r="83" ht="15" customHeight="1" s="120">
      <c r="A83" s="213">
        <f>IF('Employee Master'!B80="","",IF(AND('Employee Master'!AD80="Y",OR('Employee Master'!C80="3:45 AM",'Employee Master'!C80="5:45 AM"),'Employee Master'!E80="N"),"Y","N"))</f>
        <v/>
      </c>
      <c r="B83" s="213">
        <f>IF('Employee Master'!B80="","",'Employee Master'!B80)</f>
        <v/>
      </c>
      <c r="C83" s="213">
        <f>IF('Employee Master'!B80="","",'Employee Master'!C80)</f>
        <v/>
      </c>
      <c r="D83" s="213">
        <f>IF('Employee Master'!B80="","",'Employee Master'!E80)</f>
        <v/>
      </c>
      <c r="E83" s="213">
        <f>IF('Employee Master'!B80="","",'Employee Master'!F80)</f>
        <v/>
      </c>
      <c r="F83" s="213">
        <f>IF('Employee Master'!B80="","",'Employee Master'!P80)</f>
        <v/>
      </c>
      <c r="G83" s="213">
        <f>IF('Employee Master'!B80="","",'Employee Master'!J80)</f>
        <v/>
      </c>
      <c r="H83" s="213">
        <f>IF('Employee Master'!B80="","",'Employee Master'!I80)</f>
        <v/>
      </c>
      <c r="I83" s="213">
        <f>IF('Employee Master'!B80="","",'Employee Master'!K80)</f>
        <v/>
      </c>
      <c r="J83" s="213">
        <f>IF('Employee Master'!B80="","",'Employee Master'!L80)</f>
        <v/>
      </c>
      <c r="K83" s="213">
        <f>IF('Employee Master'!B80="","",'Employee Master'!T80)</f>
        <v/>
      </c>
      <c r="L83" s="213">
        <f>IF('Employee Master'!B80="","",'Employee Master'!M80)</f>
        <v/>
      </c>
      <c r="M83" s="213">
        <f>IF('Employee Master'!B80="","",'Employee Master'!N80)</f>
        <v/>
      </c>
      <c r="N83" s="213">
        <f>IF('Employee Master'!B80="","",'Employee Master'!R80)</f>
        <v/>
      </c>
      <c r="O83" s="213">
        <f>IF('Employee Master'!B80="","",'Employee Master'!S80)</f>
        <v/>
      </c>
      <c r="P83" s="213">
        <f>IF('Employee Master'!B80="","",'Employee Master'!AD80)</f>
        <v/>
      </c>
    </row>
    <row r="84" ht="15" customHeight="1" s="120">
      <c r="A84" s="213">
        <f>IF('Employee Master'!B81="","",IF(AND('Employee Master'!AD81="Y",OR('Employee Master'!C81="3:45 AM",'Employee Master'!C81="5:45 AM"),'Employee Master'!E81="N"),"Y","N"))</f>
        <v/>
      </c>
      <c r="B84" s="213">
        <f>IF('Employee Master'!B81="","",'Employee Master'!B81)</f>
        <v/>
      </c>
      <c r="C84" s="213">
        <f>IF('Employee Master'!B81="","",'Employee Master'!C81)</f>
        <v/>
      </c>
      <c r="D84" s="213">
        <f>IF('Employee Master'!B81="","",'Employee Master'!E81)</f>
        <v/>
      </c>
      <c r="E84" s="213">
        <f>IF('Employee Master'!B81="","",'Employee Master'!F81)</f>
        <v/>
      </c>
      <c r="F84" s="213">
        <f>IF('Employee Master'!B81="","",'Employee Master'!P81)</f>
        <v/>
      </c>
      <c r="G84" s="213">
        <f>IF('Employee Master'!B81="","",'Employee Master'!J81)</f>
        <v/>
      </c>
      <c r="H84" s="213">
        <f>IF('Employee Master'!B81="","",'Employee Master'!I81)</f>
        <v/>
      </c>
      <c r="I84" s="213">
        <f>IF('Employee Master'!B81="","",'Employee Master'!K81)</f>
        <v/>
      </c>
      <c r="J84" s="213">
        <f>IF('Employee Master'!B81="","",'Employee Master'!L81)</f>
        <v/>
      </c>
      <c r="K84" s="213">
        <f>IF('Employee Master'!B81="","",'Employee Master'!T81)</f>
        <v/>
      </c>
      <c r="L84" s="213">
        <f>IF('Employee Master'!B81="","",'Employee Master'!M81)</f>
        <v/>
      </c>
      <c r="M84" s="213">
        <f>IF('Employee Master'!B81="","",'Employee Master'!N81)</f>
        <v/>
      </c>
      <c r="N84" s="213">
        <f>IF('Employee Master'!B81="","",'Employee Master'!R81)</f>
        <v/>
      </c>
      <c r="O84" s="213">
        <f>IF('Employee Master'!B81="","",'Employee Master'!S81)</f>
        <v/>
      </c>
      <c r="P84" s="213">
        <f>IF('Employee Master'!B81="","",'Employee Master'!AD81)</f>
        <v/>
      </c>
    </row>
    <row r="85" ht="15" customHeight="1" s="120">
      <c r="A85" s="213">
        <f>IF('Employee Master'!B82="","",IF(AND('Employee Master'!AD82="Y",OR('Employee Master'!C82="3:45 AM",'Employee Master'!C82="5:45 AM"),'Employee Master'!E82="N"),"Y","N"))</f>
        <v/>
      </c>
      <c r="B85" s="213">
        <f>IF('Employee Master'!B82="","",'Employee Master'!B82)</f>
        <v/>
      </c>
      <c r="C85" s="213">
        <f>IF('Employee Master'!B82="","",'Employee Master'!C82)</f>
        <v/>
      </c>
      <c r="D85" s="213">
        <f>IF('Employee Master'!B82="","",'Employee Master'!E82)</f>
        <v/>
      </c>
      <c r="E85" s="213">
        <f>IF('Employee Master'!B82="","",'Employee Master'!F82)</f>
        <v/>
      </c>
      <c r="F85" s="213">
        <f>IF('Employee Master'!B82="","",'Employee Master'!P82)</f>
        <v/>
      </c>
      <c r="G85" s="213">
        <f>IF('Employee Master'!B82="","",'Employee Master'!J82)</f>
        <v/>
      </c>
      <c r="H85" s="213">
        <f>IF('Employee Master'!B82="","",'Employee Master'!I82)</f>
        <v/>
      </c>
      <c r="I85" s="213">
        <f>IF('Employee Master'!B82="","",'Employee Master'!K82)</f>
        <v/>
      </c>
      <c r="J85" s="213">
        <f>IF('Employee Master'!B82="","",'Employee Master'!L82)</f>
        <v/>
      </c>
      <c r="K85" s="213">
        <f>IF('Employee Master'!B82="","",'Employee Master'!T82)</f>
        <v/>
      </c>
      <c r="L85" s="213">
        <f>IF('Employee Master'!B82="","",'Employee Master'!M82)</f>
        <v/>
      </c>
      <c r="M85" s="213">
        <f>IF('Employee Master'!B82="","",'Employee Master'!N82)</f>
        <v/>
      </c>
      <c r="N85" s="213">
        <f>IF('Employee Master'!B82="","",'Employee Master'!R82)</f>
        <v/>
      </c>
      <c r="O85" s="213">
        <f>IF('Employee Master'!B82="","",'Employee Master'!S82)</f>
        <v/>
      </c>
      <c r="P85" s="213">
        <f>IF('Employee Master'!B82="","",'Employee Master'!AD82)</f>
        <v/>
      </c>
    </row>
    <row r="86" ht="15" customHeight="1" s="120">
      <c r="A86" s="213">
        <f>IF('Employee Master'!B83="","",IF(AND('Employee Master'!AD83="Y",OR('Employee Master'!C83="3:45 AM",'Employee Master'!C83="5:45 AM"),'Employee Master'!E83="N"),"Y","N"))</f>
        <v/>
      </c>
      <c r="B86" s="213">
        <f>IF('Employee Master'!B83="","",'Employee Master'!B83)</f>
        <v/>
      </c>
      <c r="C86" s="213">
        <f>IF('Employee Master'!B83="","",'Employee Master'!C83)</f>
        <v/>
      </c>
      <c r="D86" s="213">
        <f>IF('Employee Master'!B83="","",'Employee Master'!E83)</f>
        <v/>
      </c>
      <c r="E86" s="213">
        <f>IF('Employee Master'!B83="","",'Employee Master'!F83)</f>
        <v/>
      </c>
      <c r="F86" s="213">
        <f>IF('Employee Master'!B83="","",'Employee Master'!P83)</f>
        <v/>
      </c>
      <c r="G86" s="213">
        <f>IF('Employee Master'!B83="","",'Employee Master'!J83)</f>
        <v/>
      </c>
      <c r="H86" s="213">
        <f>IF('Employee Master'!B83="","",'Employee Master'!I83)</f>
        <v/>
      </c>
      <c r="I86" s="213">
        <f>IF('Employee Master'!B83="","",'Employee Master'!K83)</f>
        <v/>
      </c>
      <c r="J86" s="213">
        <f>IF('Employee Master'!B83="","",'Employee Master'!L83)</f>
        <v/>
      </c>
      <c r="K86" s="213">
        <f>IF('Employee Master'!B83="","",'Employee Master'!T83)</f>
        <v/>
      </c>
      <c r="L86" s="213">
        <f>IF('Employee Master'!B83="","",'Employee Master'!M83)</f>
        <v/>
      </c>
      <c r="M86" s="213">
        <f>IF('Employee Master'!B83="","",'Employee Master'!N83)</f>
        <v/>
      </c>
      <c r="N86" s="213">
        <f>IF('Employee Master'!B83="","",'Employee Master'!R83)</f>
        <v/>
      </c>
      <c r="O86" s="213">
        <f>IF('Employee Master'!B83="","",'Employee Master'!S83)</f>
        <v/>
      </c>
      <c r="P86" s="213">
        <f>IF('Employee Master'!B83="","",'Employee Master'!AD83)</f>
        <v/>
      </c>
    </row>
    <row r="87" ht="15" customHeight="1" s="120">
      <c r="A87" s="213">
        <f>IF('Employee Master'!B84="","",IF(AND('Employee Master'!AD84="Y",OR('Employee Master'!C84="3:45 AM",'Employee Master'!C84="5:45 AM"),'Employee Master'!E84="N"),"Y","N"))</f>
        <v/>
      </c>
      <c r="B87" s="213">
        <f>IF('Employee Master'!B84="","",'Employee Master'!B84)</f>
        <v/>
      </c>
      <c r="C87" s="213">
        <f>IF('Employee Master'!B84="","",'Employee Master'!C84)</f>
        <v/>
      </c>
      <c r="D87" s="213">
        <f>IF('Employee Master'!B84="","",'Employee Master'!E84)</f>
        <v/>
      </c>
      <c r="E87" s="213">
        <f>IF('Employee Master'!B84="","",'Employee Master'!F84)</f>
        <v/>
      </c>
      <c r="F87" s="213">
        <f>IF('Employee Master'!B84="","",'Employee Master'!P84)</f>
        <v/>
      </c>
      <c r="G87" s="213">
        <f>IF('Employee Master'!B84="","",'Employee Master'!J84)</f>
        <v/>
      </c>
      <c r="H87" s="213">
        <f>IF('Employee Master'!B84="","",'Employee Master'!I84)</f>
        <v/>
      </c>
      <c r="I87" s="213">
        <f>IF('Employee Master'!B84="","",'Employee Master'!K84)</f>
        <v/>
      </c>
      <c r="J87" s="213">
        <f>IF('Employee Master'!B84="","",'Employee Master'!L84)</f>
        <v/>
      </c>
      <c r="K87" s="213">
        <f>IF('Employee Master'!B84="","",'Employee Master'!T84)</f>
        <v/>
      </c>
      <c r="L87" s="213">
        <f>IF('Employee Master'!B84="","",'Employee Master'!M84)</f>
        <v/>
      </c>
      <c r="M87" s="213">
        <f>IF('Employee Master'!B84="","",'Employee Master'!N84)</f>
        <v/>
      </c>
      <c r="N87" s="213">
        <f>IF('Employee Master'!B84="","",'Employee Master'!R84)</f>
        <v/>
      </c>
      <c r="O87" s="213">
        <f>IF('Employee Master'!B84="","",'Employee Master'!S84)</f>
        <v/>
      </c>
      <c r="P87" s="213">
        <f>IF('Employee Master'!B84="","",'Employee Master'!AD84)</f>
        <v/>
      </c>
    </row>
    <row r="88" ht="15" customHeight="1" s="120">
      <c r="A88" s="213">
        <f>IF('Employee Master'!B85="","",IF(AND('Employee Master'!AD85="Y",OR('Employee Master'!C85="3:45 AM",'Employee Master'!C85="5:45 AM"),'Employee Master'!E85="N"),"Y","N"))</f>
        <v/>
      </c>
      <c r="B88" s="213">
        <f>IF('Employee Master'!B85="","",'Employee Master'!B85)</f>
        <v/>
      </c>
      <c r="C88" s="213">
        <f>IF('Employee Master'!B85="","",'Employee Master'!C85)</f>
        <v/>
      </c>
      <c r="D88" s="213">
        <f>IF('Employee Master'!B85="","",'Employee Master'!E85)</f>
        <v/>
      </c>
      <c r="E88" s="213">
        <f>IF('Employee Master'!B85="","",'Employee Master'!F85)</f>
        <v/>
      </c>
      <c r="F88" s="213">
        <f>IF('Employee Master'!B85="","",'Employee Master'!P85)</f>
        <v/>
      </c>
      <c r="G88" s="213">
        <f>IF('Employee Master'!B85="","",'Employee Master'!J85)</f>
        <v/>
      </c>
      <c r="H88" s="213">
        <f>IF('Employee Master'!B85="","",'Employee Master'!I85)</f>
        <v/>
      </c>
      <c r="I88" s="213">
        <f>IF('Employee Master'!B85="","",'Employee Master'!K85)</f>
        <v/>
      </c>
      <c r="J88" s="213">
        <f>IF('Employee Master'!B85="","",'Employee Master'!L85)</f>
        <v/>
      </c>
      <c r="K88" s="213">
        <f>IF('Employee Master'!B85="","",'Employee Master'!T85)</f>
        <v/>
      </c>
      <c r="L88" s="213">
        <f>IF('Employee Master'!B85="","",'Employee Master'!M85)</f>
        <v/>
      </c>
      <c r="M88" s="213">
        <f>IF('Employee Master'!B85="","",'Employee Master'!N85)</f>
        <v/>
      </c>
      <c r="N88" s="213">
        <f>IF('Employee Master'!B85="","",'Employee Master'!R85)</f>
        <v/>
      </c>
      <c r="O88" s="213">
        <f>IF('Employee Master'!B85="","",'Employee Master'!S85)</f>
        <v/>
      </c>
      <c r="P88" s="213">
        <f>IF('Employee Master'!B85="","",'Employee Master'!AD85)</f>
        <v/>
      </c>
    </row>
    <row r="89" ht="15" customHeight="1" s="120">
      <c r="A89" s="213">
        <f>IF('Employee Master'!B86="","",IF(AND('Employee Master'!AD86="Y",OR('Employee Master'!C86="3:45 AM",'Employee Master'!C86="5:45 AM"),'Employee Master'!E86="N"),"Y","N"))</f>
        <v/>
      </c>
      <c r="B89" s="213">
        <f>IF('Employee Master'!B86="","",'Employee Master'!B86)</f>
        <v/>
      </c>
      <c r="C89" s="213">
        <f>IF('Employee Master'!B86="","",'Employee Master'!C86)</f>
        <v/>
      </c>
      <c r="D89" s="213">
        <f>IF('Employee Master'!B86="","",'Employee Master'!E86)</f>
        <v/>
      </c>
      <c r="E89" s="213">
        <f>IF('Employee Master'!B86="","",'Employee Master'!F86)</f>
        <v/>
      </c>
      <c r="F89" s="213">
        <f>IF('Employee Master'!B86="","",'Employee Master'!P86)</f>
        <v/>
      </c>
      <c r="G89" s="213">
        <f>IF('Employee Master'!B86="","",'Employee Master'!J86)</f>
        <v/>
      </c>
      <c r="H89" s="213">
        <f>IF('Employee Master'!B86="","",'Employee Master'!I86)</f>
        <v/>
      </c>
      <c r="I89" s="213">
        <f>IF('Employee Master'!B86="","",'Employee Master'!K86)</f>
        <v/>
      </c>
      <c r="J89" s="213">
        <f>IF('Employee Master'!B86="","",'Employee Master'!L86)</f>
        <v/>
      </c>
      <c r="K89" s="213">
        <f>IF('Employee Master'!B86="","",'Employee Master'!T86)</f>
        <v/>
      </c>
      <c r="L89" s="213">
        <f>IF('Employee Master'!B86="","",'Employee Master'!M86)</f>
        <v/>
      </c>
      <c r="M89" s="213">
        <f>IF('Employee Master'!B86="","",'Employee Master'!N86)</f>
        <v/>
      </c>
      <c r="N89" s="213">
        <f>IF('Employee Master'!B86="","",'Employee Master'!R86)</f>
        <v/>
      </c>
      <c r="O89" s="213">
        <f>IF('Employee Master'!B86="","",'Employee Master'!S86)</f>
        <v/>
      </c>
      <c r="P89" s="213">
        <f>IF('Employee Master'!B86="","",'Employee Master'!AD86)</f>
        <v/>
      </c>
    </row>
    <row r="90" ht="15" customHeight="1" s="120">
      <c r="A90" s="213">
        <f>IF('Employee Master'!B87="","",IF(AND('Employee Master'!AD87="Y",OR('Employee Master'!C87="3:45 AM",'Employee Master'!C87="5:45 AM"),'Employee Master'!E87="N"),"Y","N"))</f>
        <v/>
      </c>
      <c r="B90" s="213">
        <f>IF('Employee Master'!B87="","",'Employee Master'!B87)</f>
        <v/>
      </c>
      <c r="C90" s="213">
        <f>IF('Employee Master'!B87="","",'Employee Master'!C87)</f>
        <v/>
      </c>
      <c r="D90" s="213">
        <f>IF('Employee Master'!B87="","",'Employee Master'!E87)</f>
        <v/>
      </c>
      <c r="E90" s="213">
        <f>IF('Employee Master'!B87="","",'Employee Master'!F87)</f>
        <v/>
      </c>
      <c r="F90" s="213">
        <f>IF('Employee Master'!B87="","",'Employee Master'!P87)</f>
        <v/>
      </c>
      <c r="G90" s="213">
        <f>IF('Employee Master'!B87="","",'Employee Master'!J87)</f>
        <v/>
      </c>
      <c r="H90" s="213">
        <f>IF('Employee Master'!B87="","",'Employee Master'!I87)</f>
        <v/>
      </c>
      <c r="I90" s="213">
        <f>IF('Employee Master'!B87="","",'Employee Master'!K87)</f>
        <v/>
      </c>
      <c r="J90" s="213">
        <f>IF('Employee Master'!B87="","",'Employee Master'!L87)</f>
        <v/>
      </c>
      <c r="K90" s="213">
        <f>IF('Employee Master'!B87="","",'Employee Master'!T87)</f>
        <v/>
      </c>
      <c r="L90" s="213">
        <f>IF('Employee Master'!B87="","",'Employee Master'!M87)</f>
        <v/>
      </c>
      <c r="M90" s="213">
        <f>IF('Employee Master'!B87="","",'Employee Master'!N87)</f>
        <v/>
      </c>
      <c r="N90" s="213">
        <f>IF('Employee Master'!B87="","",'Employee Master'!R87)</f>
        <v/>
      </c>
      <c r="O90" s="213">
        <f>IF('Employee Master'!B87="","",'Employee Master'!S87)</f>
        <v/>
      </c>
      <c r="P90" s="213">
        <f>IF('Employee Master'!B87="","",'Employee Master'!AD87)</f>
        <v/>
      </c>
    </row>
    <row r="91" ht="15" customHeight="1" s="120">
      <c r="A91" s="213">
        <f>IF('Employee Master'!B88="","",IF(AND('Employee Master'!AD88="Y",OR('Employee Master'!C88="3:45 AM",'Employee Master'!C88="5:45 AM"),'Employee Master'!E88="N"),"Y","N"))</f>
        <v/>
      </c>
      <c r="B91" s="213">
        <f>IF('Employee Master'!B88="","",'Employee Master'!B88)</f>
        <v/>
      </c>
      <c r="C91" s="213">
        <f>IF('Employee Master'!B88="","",'Employee Master'!C88)</f>
        <v/>
      </c>
      <c r="D91" s="213">
        <f>IF('Employee Master'!B88="","",'Employee Master'!E88)</f>
        <v/>
      </c>
      <c r="E91" s="213">
        <f>IF('Employee Master'!B88="","",'Employee Master'!F88)</f>
        <v/>
      </c>
      <c r="F91" s="213">
        <f>IF('Employee Master'!B88="","",'Employee Master'!P88)</f>
        <v/>
      </c>
      <c r="G91" s="213">
        <f>IF('Employee Master'!B88="","",'Employee Master'!J88)</f>
        <v/>
      </c>
      <c r="H91" s="213">
        <f>IF('Employee Master'!B88="","",'Employee Master'!I88)</f>
        <v/>
      </c>
      <c r="I91" s="213">
        <f>IF('Employee Master'!B88="","",'Employee Master'!K88)</f>
        <v/>
      </c>
      <c r="J91" s="213">
        <f>IF('Employee Master'!B88="","",'Employee Master'!L88)</f>
        <v/>
      </c>
      <c r="K91" s="213">
        <f>IF('Employee Master'!B88="","",'Employee Master'!T88)</f>
        <v/>
      </c>
      <c r="L91" s="213">
        <f>IF('Employee Master'!B88="","",'Employee Master'!M88)</f>
        <v/>
      </c>
      <c r="M91" s="213">
        <f>IF('Employee Master'!B88="","",'Employee Master'!N88)</f>
        <v/>
      </c>
      <c r="N91" s="213">
        <f>IF('Employee Master'!B88="","",'Employee Master'!R88)</f>
        <v/>
      </c>
      <c r="O91" s="213">
        <f>IF('Employee Master'!B88="","",'Employee Master'!S88)</f>
        <v/>
      </c>
      <c r="P91" s="213">
        <f>IF('Employee Master'!B88="","",'Employee Master'!AD88)</f>
        <v/>
      </c>
    </row>
    <row r="92" ht="15" customHeight="1" s="120">
      <c r="A92" s="213">
        <f>IF('Employee Master'!B89="","",IF(AND('Employee Master'!AD89="Y",OR('Employee Master'!C89="3:45 AM",'Employee Master'!C89="5:45 AM"),'Employee Master'!E89="N"),"Y","N"))</f>
        <v/>
      </c>
      <c r="B92" s="213">
        <f>IF('Employee Master'!B89="","",'Employee Master'!B89)</f>
        <v/>
      </c>
      <c r="C92" s="213">
        <f>IF('Employee Master'!B89="","",'Employee Master'!C89)</f>
        <v/>
      </c>
      <c r="D92" s="213">
        <f>IF('Employee Master'!B89="","",'Employee Master'!E89)</f>
        <v/>
      </c>
      <c r="E92" s="213">
        <f>IF('Employee Master'!B89="","",'Employee Master'!F89)</f>
        <v/>
      </c>
      <c r="F92" s="213">
        <f>IF('Employee Master'!B89="","",'Employee Master'!P89)</f>
        <v/>
      </c>
      <c r="G92" s="213">
        <f>IF('Employee Master'!B89="","",'Employee Master'!J89)</f>
        <v/>
      </c>
      <c r="H92" s="213">
        <f>IF('Employee Master'!B89="","",'Employee Master'!I89)</f>
        <v/>
      </c>
      <c r="I92" s="213">
        <f>IF('Employee Master'!B89="","",'Employee Master'!K89)</f>
        <v/>
      </c>
      <c r="J92" s="213">
        <f>IF('Employee Master'!B89="","",'Employee Master'!L89)</f>
        <v/>
      </c>
      <c r="K92" s="213">
        <f>IF('Employee Master'!B89="","",'Employee Master'!T89)</f>
        <v/>
      </c>
      <c r="L92" s="213">
        <f>IF('Employee Master'!B89="","",'Employee Master'!M89)</f>
        <v/>
      </c>
      <c r="M92" s="213">
        <f>IF('Employee Master'!B89="","",'Employee Master'!N89)</f>
        <v/>
      </c>
      <c r="N92" s="213">
        <f>IF('Employee Master'!B89="","",'Employee Master'!R89)</f>
        <v/>
      </c>
      <c r="O92" s="213">
        <f>IF('Employee Master'!B89="","",'Employee Master'!S89)</f>
        <v/>
      </c>
      <c r="P92" s="213">
        <f>IF('Employee Master'!B89="","",'Employee Master'!AD89)</f>
        <v/>
      </c>
    </row>
    <row r="93" ht="15" customHeight="1" s="120">
      <c r="A93" s="213">
        <f>IF('Employee Master'!B90="","",IF(AND('Employee Master'!AD90="Y",OR('Employee Master'!C90="3:45 AM",'Employee Master'!C90="5:45 AM"),'Employee Master'!E90="N"),"Y","N"))</f>
        <v/>
      </c>
      <c r="B93" s="213">
        <f>IF('Employee Master'!B90="","",'Employee Master'!B90)</f>
        <v/>
      </c>
      <c r="C93" s="213">
        <f>IF('Employee Master'!B90="","",'Employee Master'!C90)</f>
        <v/>
      </c>
      <c r="D93" s="213">
        <f>IF('Employee Master'!B90="","",'Employee Master'!E90)</f>
        <v/>
      </c>
      <c r="E93" s="213">
        <f>IF('Employee Master'!B90="","",'Employee Master'!F90)</f>
        <v/>
      </c>
      <c r="F93" s="213">
        <f>IF('Employee Master'!B90="","",'Employee Master'!P90)</f>
        <v/>
      </c>
      <c r="G93" s="213">
        <f>IF('Employee Master'!B90="","",'Employee Master'!J90)</f>
        <v/>
      </c>
      <c r="H93" s="213">
        <f>IF('Employee Master'!B90="","",'Employee Master'!I90)</f>
        <v/>
      </c>
      <c r="I93" s="213">
        <f>IF('Employee Master'!B90="","",'Employee Master'!K90)</f>
        <v/>
      </c>
      <c r="J93" s="213">
        <f>IF('Employee Master'!B90="","",'Employee Master'!L90)</f>
        <v/>
      </c>
      <c r="K93" s="213">
        <f>IF('Employee Master'!B90="","",'Employee Master'!T90)</f>
        <v/>
      </c>
      <c r="L93" s="213">
        <f>IF('Employee Master'!B90="","",'Employee Master'!M90)</f>
        <v/>
      </c>
      <c r="M93" s="213">
        <f>IF('Employee Master'!B90="","",'Employee Master'!N90)</f>
        <v/>
      </c>
      <c r="N93" s="213">
        <f>IF('Employee Master'!B90="","",'Employee Master'!R90)</f>
        <v/>
      </c>
      <c r="O93" s="213">
        <f>IF('Employee Master'!B90="","",'Employee Master'!S90)</f>
        <v/>
      </c>
      <c r="P93" s="213">
        <f>IF('Employee Master'!B90="","",'Employee Master'!AD90)</f>
        <v/>
      </c>
    </row>
    <row r="94" ht="15" customHeight="1" s="120">
      <c r="A94" s="213">
        <f>IF('Employee Master'!B91="","",IF(AND('Employee Master'!AD91="Y",OR('Employee Master'!C91="3:45 AM",'Employee Master'!C91="5:45 AM"),'Employee Master'!E91="N"),"Y","N"))</f>
        <v/>
      </c>
      <c r="B94" s="213">
        <f>IF('Employee Master'!B91="","",'Employee Master'!B91)</f>
        <v/>
      </c>
      <c r="C94" s="213">
        <f>IF('Employee Master'!B91="","",'Employee Master'!C91)</f>
        <v/>
      </c>
      <c r="D94" s="213">
        <f>IF('Employee Master'!B91="","",'Employee Master'!E91)</f>
        <v/>
      </c>
      <c r="E94" s="213">
        <f>IF('Employee Master'!B91="","",'Employee Master'!F91)</f>
        <v/>
      </c>
      <c r="F94" s="213">
        <f>IF('Employee Master'!B91="","",'Employee Master'!P91)</f>
        <v/>
      </c>
      <c r="G94" s="213">
        <f>IF('Employee Master'!B91="","",'Employee Master'!J91)</f>
        <v/>
      </c>
      <c r="H94" s="213">
        <f>IF('Employee Master'!B91="","",'Employee Master'!I91)</f>
        <v/>
      </c>
      <c r="I94" s="213">
        <f>IF('Employee Master'!B91="","",'Employee Master'!K91)</f>
        <v/>
      </c>
      <c r="J94" s="213">
        <f>IF('Employee Master'!B91="","",'Employee Master'!L91)</f>
        <v/>
      </c>
      <c r="K94" s="213">
        <f>IF('Employee Master'!B91="","",'Employee Master'!T91)</f>
        <v/>
      </c>
      <c r="L94" s="213">
        <f>IF('Employee Master'!B91="","",'Employee Master'!M91)</f>
        <v/>
      </c>
      <c r="M94" s="213">
        <f>IF('Employee Master'!B91="","",'Employee Master'!N91)</f>
        <v/>
      </c>
      <c r="N94" s="213">
        <f>IF('Employee Master'!B91="","",'Employee Master'!R91)</f>
        <v/>
      </c>
      <c r="O94" s="213">
        <f>IF('Employee Master'!B91="","",'Employee Master'!S91)</f>
        <v/>
      </c>
      <c r="P94" s="213">
        <f>IF('Employee Master'!B91="","",'Employee Master'!AD91)</f>
        <v/>
      </c>
    </row>
    <row r="95" ht="15" customHeight="1" s="120">
      <c r="A95" s="213">
        <f>IF('Employee Master'!B92="","",IF(AND('Employee Master'!AD92="Y",OR('Employee Master'!C92="3:45 AM",'Employee Master'!C92="5:45 AM"),'Employee Master'!E92="N"),"Y","N"))</f>
        <v/>
      </c>
      <c r="B95" s="213">
        <f>IF('Employee Master'!B92="","",'Employee Master'!B92)</f>
        <v/>
      </c>
      <c r="C95" s="213">
        <f>IF('Employee Master'!B92="","",'Employee Master'!C92)</f>
        <v/>
      </c>
      <c r="D95" s="213">
        <f>IF('Employee Master'!B92="","",'Employee Master'!E92)</f>
        <v/>
      </c>
      <c r="E95" s="213">
        <f>IF('Employee Master'!B92="","",'Employee Master'!F92)</f>
        <v/>
      </c>
      <c r="F95" s="213">
        <f>IF('Employee Master'!B92="","",'Employee Master'!P92)</f>
        <v/>
      </c>
      <c r="G95" s="213">
        <f>IF('Employee Master'!B92="","",'Employee Master'!J92)</f>
        <v/>
      </c>
      <c r="H95" s="213">
        <f>IF('Employee Master'!B92="","",'Employee Master'!I92)</f>
        <v/>
      </c>
      <c r="I95" s="213">
        <f>IF('Employee Master'!B92="","",'Employee Master'!K92)</f>
        <v/>
      </c>
      <c r="J95" s="213">
        <f>IF('Employee Master'!B92="","",'Employee Master'!L92)</f>
        <v/>
      </c>
      <c r="K95" s="213">
        <f>IF('Employee Master'!B92="","",'Employee Master'!T92)</f>
        <v/>
      </c>
      <c r="L95" s="213">
        <f>IF('Employee Master'!B92="","",'Employee Master'!M92)</f>
        <v/>
      </c>
      <c r="M95" s="213">
        <f>IF('Employee Master'!B92="","",'Employee Master'!N92)</f>
        <v/>
      </c>
      <c r="N95" s="213">
        <f>IF('Employee Master'!B92="","",'Employee Master'!R92)</f>
        <v/>
      </c>
      <c r="O95" s="213">
        <f>IF('Employee Master'!B92="","",'Employee Master'!S92)</f>
        <v/>
      </c>
      <c r="P95" s="213">
        <f>IF('Employee Master'!B92="","",'Employee Master'!AD92)</f>
        <v/>
      </c>
    </row>
    <row r="96" ht="15" customHeight="1" s="120">
      <c r="A96" s="213">
        <f>IF('Employee Master'!B93="","",IF(AND('Employee Master'!AD93="Y",OR('Employee Master'!C93="3:45 AM",'Employee Master'!C93="5:45 AM"),'Employee Master'!E93="N"),"Y","N"))</f>
        <v/>
      </c>
      <c r="B96" s="213">
        <f>IF('Employee Master'!B93="","",'Employee Master'!B93)</f>
        <v/>
      </c>
      <c r="C96" s="213">
        <f>IF('Employee Master'!B93="","",'Employee Master'!C93)</f>
        <v/>
      </c>
      <c r="D96" s="213">
        <f>IF('Employee Master'!B93="","",'Employee Master'!E93)</f>
        <v/>
      </c>
      <c r="E96" s="213">
        <f>IF('Employee Master'!B93="","",'Employee Master'!F93)</f>
        <v/>
      </c>
      <c r="F96" s="213">
        <f>IF('Employee Master'!B93="","",'Employee Master'!P93)</f>
        <v/>
      </c>
      <c r="G96" s="213">
        <f>IF('Employee Master'!B93="","",'Employee Master'!J93)</f>
        <v/>
      </c>
      <c r="H96" s="213">
        <f>IF('Employee Master'!B93="","",'Employee Master'!I93)</f>
        <v/>
      </c>
      <c r="I96" s="213">
        <f>IF('Employee Master'!B93="","",'Employee Master'!K93)</f>
        <v/>
      </c>
      <c r="J96" s="213">
        <f>IF('Employee Master'!B93="","",'Employee Master'!L93)</f>
        <v/>
      </c>
      <c r="K96" s="213">
        <f>IF('Employee Master'!B93="","",'Employee Master'!T93)</f>
        <v/>
      </c>
      <c r="L96" s="213">
        <f>IF('Employee Master'!B93="","",'Employee Master'!M93)</f>
        <v/>
      </c>
      <c r="M96" s="213">
        <f>IF('Employee Master'!B93="","",'Employee Master'!N93)</f>
        <v/>
      </c>
      <c r="N96" s="213">
        <f>IF('Employee Master'!B93="","",'Employee Master'!R93)</f>
        <v/>
      </c>
      <c r="O96" s="213">
        <f>IF('Employee Master'!B93="","",'Employee Master'!S93)</f>
        <v/>
      </c>
      <c r="P96" s="213">
        <f>IF('Employee Master'!B93="","",'Employee Master'!AD93)</f>
        <v/>
      </c>
    </row>
    <row r="97" ht="15" customHeight="1" s="120">
      <c r="A97" s="213">
        <f>IF('Employee Master'!B94="","",IF(AND('Employee Master'!AD94="Y",OR('Employee Master'!C94="3:45 AM",'Employee Master'!C94="5:45 AM"),'Employee Master'!E94="N"),"Y","N"))</f>
        <v/>
      </c>
      <c r="B97" s="213">
        <f>IF('Employee Master'!B94="","",'Employee Master'!B94)</f>
        <v/>
      </c>
      <c r="C97" s="213">
        <f>IF('Employee Master'!B94="","",'Employee Master'!C94)</f>
        <v/>
      </c>
      <c r="D97" s="213">
        <f>IF('Employee Master'!B94="","",'Employee Master'!E94)</f>
        <v/>
      </c>
      <c r="E97" s="213">
        <f>IF('Employee Master'!B94="","",'Employee Master'!F94)</f>
        <v/>
      </c>
      <c r="F97" s="213">
        <f>IF('Employee Master'!B94="","",'Employee Master'!P94)</f>
        <v/>
      </c>
      <c r="G97" s="213">
        <f>IF('Employee Master'!B94="","",'Employee Master'!J94)</f>
        <v/>
      </c>
      <c r="H97" s="213">
        <f>IF('Employee Master'!B94="","",'Employee Master'!I94)</f>
        <v/>
      </c>
      <c r="I97" s="213">
        <f>IF('Employee Master'!B94="","",'Employee Master'!K94)</f>
        <v/>
      </c>
      <c r="J97" s="213">
        <f>IF('Employee Master'!B94="","",'Employee Master'!L94)</f>
        <v/>
      </c>
      <c r="K97" s="213">
        <f>IF('Employee Master'!B94="","",'Employee Master'!T94)</f>
        <v/>
      </c>
      <c r="L97" s="213">
        <f>IF('Employee Master'!B94="","",'Employee Master'!M94)</f>
        <v/>
      </c>
      <c r="M97" s="213">
        <f>IF('Employee Master'!B94="","",'Employee Master'!N94)</f>
        <v/>
      </c>
      <c r="N97" s="213">
        <f>IF('Employee Master'!B94="","",'Employee Master'!R94)</f>
        <v/>
      </c>
      <c r="O97" s="213">
        <f>IF('Employee Master'!B94="","",'Employee Master'!S94)</f>
        <v/>
      </c>
      <c r="P97" s="213">
        <f>IF('Employee Master'!B94="","",'Employee Master'!AD94)</f>
        <v/>
      </c>
    </row>
    <row r="98" ht="15" customHeight="1" s="120">
      <c r="A98" s="213">
        <f>IF('Employee Master'!B95="","",IF(AND('Employee Master'!AD95="Y",OR('Employee Master'!C95="3:45 AM",'Employee Master'!C95="5:45 AM"),'Employee Master'!E95="N"),"Y","N"))</f>
        <v/>
      </c>
      <c r="B98" s="213">
        <f>IF('Employee Master'!B95="","",'Employee Master'!B95)</f>
        <v/>
      </c>
      <c r="C98" s="213">
        <f>IF('Employee Master'!B95="","",'Employee Master'!C95)</f>
        <v/>
      </c>
      <c r="D98" s="213">
        <f>IF('Employee Master'!B95="","",'Employee Master'!E95)</f>
        <v/>
      </c>
      <c r="E98" s="213">
        <f>IF('Employee Master'!B95="","",'Employee Master'!F95)</f>
        <v/>
      </c>
      <c r="F98" s="213">
        <f>IF('Employee Master'!B95="","",'Employee Master'!P95)</f>
        <v/>
      </c>
      <c r="G98" s="213">
        <f>IF('Employee Master'!B95="","",'Employee Master'!J95)</f>
        <v/>
      </c>
      <c r="H98" s="213">
        <f>IF('Employee Master'!B95="","",'Employee Master'!I95)</f>
        <v/>
      </c>
      <c r="I98" s="213">
        <f>IF('Employee Master'!B95="","",'Employee Master'!K95)</f>
        <v/>
      </c>
      <c r="J98" s="213">
        <f>IF('Employee Master'!B95="","",'Employee Master'!L95)</f>
        <v/>
      </c>
      <c r="K98" s="213">
        <f>IF('Employee Master'!B95="","",'Employee Master'!T95)</f>
        <v/>
      </c>
      <c r="L98" s="213">
        <f>IF('Employee Master'!B95="","",'Employee Master'!M95)</f>
        <v/>
      </c>
      <c r="M98" s="213">
        <f>IF('Employee Master'!B95="","",'Employee Master'!N95)</f>
        <v/>
      </c>
      <c r="N98" s="213">
        <f>IF('Employee Master'!B95="","",'Employee Master'!R95)</f>
        <v/>
      </c>
      <c r="O98" s="213">
        <f>IF('Employee Master'!B95="","",'Employee Master'!S95)</f>
        <v/>
      </c>
      <c r="P98" s="213">
        <f>IF('Employee Master'!B95="","",'Employee Master'!AD95)</f>
        <v/>
      </c>
    </row>
    <row r="99" ht="15" customHeight="1" s="120">
      <c r="A99" s="213">
        <f>IF('Employee Master'!B96="","",IF(AND('Employee Master'!AD96="Y",OR('Employee Master'!C96="3:45 AM",'Employee Master'!C96="5:45 AM"),'Employee Master'!E96="N"),"Y","N"))</f>
        <v/>
      </c>
      <c r="B99" s="213">
        <f>IF('Employee Master'!B96="","",'Employee Master'!B96)</f>
        <v/>
      </c>
      <c r="C99" s="213">
        <f>IF('Employee Master'!B96="","",'Employee Master'!C96)</f>
        <v/>
      </c>
      <c r="D99" s="213">
        <f>IF('Employee Master'!B96="","",'Employee Master'!E96)</f>
        <v/>
      </c>
      <c r="E99" s="213">
        <f>IF('Employee Master'!B96="","",'Employee Master'!F96)</f>
        <v/>
      </c>
      <c r="F99" s="213">
        <f>IF('Employee Master'!B96="","",'Employee Master'!P96)</f>
        <v/>
      </c>
      <c r="G99" s="213">
        <f>IF('Employee Master'!B96="","",'Employee Master'!J96)</f>
        <v/>
      </c>
      <c r="H99" s="213">
        <f>IF('Employee Master'!B96="","",'Employee Master'!I96)</f>
        <v/>
      </c>
      <c r="I99" s="213">
        <f>IF('Employee Master'!B96="","",'Employee Master'!K96)</f>
        <v/>
      </c>
      <c r="J99" s="213">
        <f>IF('Employee Master'!B96="","",'Employee Master'!L96)</f>
        <v/>
      </c>
      <c r="K99" s="213">
        <f>IF('Employee Master'!B96="","",'Employee Master'!T96)</f>
        <v/>
      </c>
      <c r="L99" s="213">
        <f>IF('Employee Master'!B96="","",'Employee Master'!M96)</f>
        <v/>
      </c>
      <c r="M99" s="213">
        <f>IF('Employee Master'!B96="","",'Employee Master'!N96)</f>
        <v/>
      </c>
      <c r="N99" s="213">
        <f>IF('Employee Master'!B96="","",'Employee Master'!R96)</f>
        <v/>
      </c>
      <c r="O99" s="213">
        <f>IF('Employee Master'!B96="","",'Employee Master'!S96)</f>
        <v/>
      </c>
      <c r="P99" s="213">
        <f>IF('Employee Master'!B96="","",'Employee Master'!AD96)</f>
        <v/>
      </c>
    </row>
    <row r="100" ht="15" customHeight="1" s="120">
      <c r="A100" s="213">
        <f>IF('Employee Master'!B97="","",IF(AND('Employee Master'!AD97="Y",OR('Employee Master'!C97="3:45 AM",'Employee Master'!C97="5:45 AM"),'Employee Master'!E97="N"),"Y","N"))</f>
        <v/>
      </c>
      <c r="B100" s="213">
        <f>IF('Employee Master'!B97="","",'Employee Master'!B97)</f>
        <v/>
      </c>
      <c r="C100" s="213">
        <f>IF('Employee Master'!B97="","",'Employee Master'!C97)</f>
        <v/>
      </c>
      <c r="D100" s="213">
        <f>IF('Employee Master'!B97="","",'Employee Master'!E97)</f>
        <v/>
      </c>
      <c r="E100" s="213">
        <f>IF('Employee Master'!B97="","",'Employee Master'!F97)</f>
        <v/>
      </c>
      <c r="F100" s="213">
        <f>IF('Employee Master'!B97="","",'Employee Master'!P97)</f>
        <v/>
      </c>
      <c r="G100" s="213">
        <f>IF('Employee Master'!B97="","",'Employee Master'!J97)</f>
        <v/>
      </c>
      <c r="H100" s="213">
        <f>IF('Employee Master'!B97="","",'Employee Master'!I97)</f>
        <v/>
      </c>
      <c r="I100" s="213">
        <f>IF('Employee Master'!B97="","",'Employee Master'!K97)</f>
        <v/>
      </c>
      <c r="J100" s="213">
        <f>IF('Employee Master'!B97="","",'Employee Master'!L97)</f>
        <v/>
      </c>
      <c r="K100" s="213">
        <f>IF('Employee Master'!B97="","",'Employee Master'!T97)</f>
        <v/>
      </c>
      <c r="L100" s="213">
        <f>IF('Employee Master'!B97="","",'Employee Master'!M97)</f>
        <v/>
      </c>
      <c r="M100" s="213">
        <f>IF('Employee Master'!B97="","",'Employee Master'!N97)</f>
        <v/>
      </c>
      <c r="N100" s="213">
        <f>IF('Employee Master'!B97="","",'Employee Master'!R97)</f>
        <v/>
      </c>
      <c r="O100" s="213">
        <f>IF('Employee Master'!B97="","",'Employee Master'!S97)</f>
        <v/>
      </c>
      <c r="P100" s="213">
        <f>IF('Employee Master'!B97="","",'Employee Master'!AD97)</f>
        <v/>
      </c>
    </row>
    <row r="101" ht="15" customHeight="1" s="120">
      <c r="A101" s="213">
        <f>IF('Employee Master'!B98="","",IF(AND('Employee Master'!AD98="Y",OR('Employee Master'!C98="3:45 AM",'Employee Master'!C98="5:45 AM"),'Employee Master'!E98="N"),"Y","N"))</f>
        <v/>
      </c>
      <c r="B101" s="213">
        <f>IF('Employee Master'!B98="","",'Employee Master'!B98)</f>
        <v/>
      </c>
      <c r="C101" s="213">
        <f>IF('Employee Master'!B98="","",'Employee Master'!C98)</f>
        <v/>
      </c>
      <c r="D101" s="213">
        <f>IF('Employee Master'!B98="","",'Employee Master'!E98)</f>
        <v/>
      </c>
      <c r="E101" s="213">
        <f>IF('Employee Master'!B98="","",'Employee Master'!F98)</f>
        <v/>
      </c>
      <c r="F101" s="213">
        <f>IF('Employee Master'!B98="","",'Employee Master'!P98)</f>
        <v/>
      </c>
      <c r="G101" s="213">
        <f>IF('Employee Master'!B98="","",'Employee Master'!J98)</f>
        <v/>
      </c>
      <c r="H101" s="213">
        <f>IF('Employee Master'!B98="","",'Employee Master'!I98)</f>
        <v/>
      </c>
      <c r="I101" s="213">
        <f>IF('Employee Master'!B98="","",'Employee Master'!K98)</f>
        <v/>
      </c>
      <c r="J101" s="213">
        <f>IF('Employee Master'!B98="","",'Employee Master'!L98)</f>
        <v/>
      </c>
      <c r="K101" s="213">
        <f>IF('Employee Master'!B98="","",'Employee Master'!T98)</f>
        <v/>
      </c>
      <c r="L101" s="213">
        <f>IF('Employee Master'!B98="","",'Employee Master'!M98)</f>
        <v/>
      </c>
      <c r="M101" s="213">
        <f>IF('Employee Master'!B98="","",'Employee Master'!N98)</f>
        <v/>
      </c>
      <c r="N101" s="213">
        <f>IF('Employee Master'!B98="","",'Employee Master'!R98)</f>
        <v/>
      </c>
      <c r="O101" s="213">
        <f>IF('Employee Master'!B98="","",'Employee Master'!S98)</f>
        <v/>
      </c>
      <c r="P101" s="213">
        <f>IF('Employee Master'!B98="","",'Employee Master'!AD98)</f>
        <v/>
      </c>
    </row>
    <row r="102" ht="15" customHeight="1" s="120">
      <c r="A102" s="213">
        <f>IF('Employee Master'!B99="","",IF(AND('Employee Master'!AD99="Y",OR('Employee Master'!C99="3:45 AM",'Employee Master'!C99="5:45 AM"),'Employee Master'!E99="N"),"Y","N"))</f>
        <v/>
      </c>
      <c r="B102" s="213">
        <f>IF('Employee Master'!B99="","",'Employee Master'!B99)</f>
        <v/>
      </c>
      <c r="C102" s="213">
        <f>IF('Employee Master'!B99="","",'Employee Master'!C99)</f>
        <v/>
      </c>
      <c r="D102" s="213">
        <f>IF('Employee Master'!B99="","",'Employee Master'!E99)</f>
        <v/>
      </c>
      <c r="E102" s="213">
        <f>IF('Employee Master'!B99="","",'Employee Master'!F99)</f>
        <v/>
      </c>
      <c r="F102" s="213">
        <f>IF('Employee Master'!B99="","",'Employee Master'!P99)</f>
        <v/>
      </c>
      <c r="G102" s="213">
        <f>IF('Employee Master'!B99="","",'Employee Master'!J99)</f>
        <v/>
      </c>
      <c r="H102" s="213">
        <f>IF('Employee Master'!B99="","",'Employee Master'!I99)</f>
        <v/>
      </c>
      <c r="I102" s="213">
        <f>IF('Employee Master'!B99="","",'Employee Master'!K99)</f>
        <v/>
      </c>
      <c r="J102" s="213">
        <f>IF('Employee Master'!B99="","",'Employee Master'!L99)</f>
        <v/>
      </c>
      <c r="K102" s="213">
        <f>IF('Employee Master'!B99="","",'Employee Master'!T99)</f>
        <v/>
      </c>
      <c r="L102" s="213">
        <f>IF('Employee Master'!B99="","",'Employee Master'!M99)</f>
        <v/>
      </c>
      <c r="M102" s="213">
        <f>IF('Employee Master'!B99="","",'Employee Master'!N99)</f>
        <v/>
      </c>
      <c r="N102" s="213">
        <f>IF('Employee Master'!B99="","",'Employee Master'!R99)</f>
        <v/>
      </c>
      <c r="O102" s="213">
        <f>IF('Employee Master'!B99="","",'Employee Master'!S99)</f>
        <v/>
      </c>
      <c r="P102" s="213">
        <f>IF('Employee Master'!B99="","",'Employee Master'!AD99)</f>
        <v/>
      </c>
    </row>
    <row r="103" ht="15" customHeight="1" s="120">
      <c r="A103" s="213">
        <f>IF('Employee Master'!B100="","",IF(AND('Employee Master'!AD100="Y",OR('Employee Master'!C100="3:45 AM",'Employee Master'!C100="5:45 AM"),'Employee Master'!E100="N"),"Y","N"))</f>
        <v/>
      </c>
      <c r="B103" s="213">
        <f>IF('Employee Master'!B100="","",'Employee Master'!B100)</f>
        <v/>
      </c>
      <c r="C103" s="213">
        <f>IF('Employee Master'!B100="","",'Employee Master'!C100)</f>
        <v/>
      </c>
      <c r="D103" s="213">
        <f>IF('Employee Master'!B100="","",'Employee Master'!E100)</f>
        <v/>
      </c>
      <c r="E103" s="213">
        <f>IF('Employee Master'!B100="","",'Employee Master'!F100)</f>
        <v/>
      </c>
      <c r="F103" s="213">
        <f>IF('Employee Master'!B100="","",'Employee Master'!P100)</f>
        <v/>
      </c>
      <c r="G103" s="213">
        <f>IF('Employee Master'!B100="","",'Employee Master'!J100)</f>
        <v/>
      </c>
      <c r="H103" s="213">
        <f>IF('Employee Master'!B100="","",'Employee Master'!I100)</f>
        <v/>
      </c>
      <c r="I103" s="213">
        <f>IF('Employee Master'!B100="","",'Employee Master'!K100)</f>
        <v/>
      </c>
      <c r="J103" s="213">
        <f>IF('Employee Master'!B100="","",'Employee Master'!L100)</f>
        <v/>
      </c>
      <c r="K103" s="213">
        <f>IF('Employee Master'!B100="","",'Employee Master'!T100)</f>
        <v/>
      </c>
      <c r="L103" s="213">
        <f>IF('Employee Master'!B100="","",'Employee Master'!M100)</f>
        <v/>
      </c>
      <c r="M103" s="213">
        <f>IF('Employee Master'!B100="","",'Employee Master'!N100)</f>
        <v/>
      </c>
      <c r="N103" s="213">
        <f>IF('Employee Master'!B100="","",'Employee Master'!R100)</f>
        <v/>
      </c>
      <c r="O103" s="213">
        <f>IF('Employee Master'!B100="","",'Employee Master'!S100)</f>
        <v/>
      </c>
      <c r="P103" s="213">
        <f>IF('Employee Master'!B100="","",'Employee Master'!AD100)</f>
        <v/>
      </c>
    </row>
    <row r="104" ht="15" customHeight="1" s="120">
      <c r="A104" s="213">
        <f>IF('Employee Master'!B101="","",IF(AND('Employee Master'!AD101="Y",OR('Employee Master'!C101="3:45 AM",'Employee Master'!C101="5:45 AM"),'Employee Master'!E101="N"),"Y","N"))</f>
        <v/>
      </c>
      <c r="B104" s="213">
        <f>IF('Employee Master'!B101="","",'Employee Master'!B101)</f>
        <v/>
      </c>
      <c r="C104" s="213">
        <f>IF('Employee Master'!B101="","",'Employee Master'!C101)</f>
        <v/>
      </c>
      <c r="D104" s="213">
        <f>IF('Employee Master'!B101="","",'Employee Master'!E101)</f>
        <v/>
      </c>
      <c r="E104" s="213">
        <f>IF('Employee Master'!B101="","",'Employee Master'!F101)</f>
        <v/>
      </c>
      <c r="F104" s="213">
        <f>IF('Employee Master'!B101="","",'Employee Master'!P101)</f>
        <v/>
      </c>
      <c r="G104" s="213">
        <f>IF('Employee Master'!B101="","",'Employee Master'!J101)</f>
        <v/>
      </c>
      <c r="H104" s="213">
        <f>IF('Employee Master'!B101="","",'Employee Master'!I101)</f>
        <v/>
      </c>
      <c r="I104" s="213">
        <f>IF('Employee Master'!B101="","",'Employee Master'!K101)</f>
        <v/>
      </c>
      <c r="J104" s="213">
        <f>IF('Employee Master'!B101="","",'Employee Master'!L101)</f>
        <v/>
      </c>
      <c r="K104" s="213">
        <f>IF('Employee Master'!B101="","",'Employee Master'!T101)</f>
        <v/>
      </c>
      <c r="L104" s="213">
        <f>IF('Employee Master'!B101="","",'Employee Master'!M101)</f>
        <v/>
      </c>
      <c r="M104" s="213">
        <f>IF('Employee Master'!B101="","",'Employee Master'!N101)</f>
        <v/>
      </c>
      <c r="N104" s="213">
        <f>IF('Employee Master'!B101="","",'Employee Master'!R101)</f>
        <v/>
      </c>
      <c r="O104" s="213">
        <f>IF('Employee Master'!B101="","",'Employee Master'!S101)</f>
        <v/>
      </c>
      <c r="P104" s="213">
        <f>IF('Employee Master'!B101="","",'Employee Master'!AD101)</f>
        <v/>
      </c>
    </row>
    <row r="105" ht="15" customHeight="1" s="120">
      <c r="A105" s="213">
        <f>IF('Employee Master'!B102="","",IF(AND('Employee Master'!AD102="Y",OR('Employee Master'!C102="3:45 AM",'Employee Master'!C102="5:45 AM"),'Employee Master'!E102="N"),"Y","N"))</f>
        <v/>
      </c>
      <c r="B105" s="213">
        <f>IF('Employee Master'!B102="","",'Employee Master'!B102)</f>
        <v/>
      </c>
      <c r="C105" s="213">
        <f>IF('Employee Master'!B102="","",'Employee Master'!C102)</f>
        <v/>
      </c>
      <c r="D105" s="213">
        <f>IF('Employee Master'!B102="","",'Employee Master'!E102)</f>
        <v/>
      </c>
      <c r="E105" s="213">
        <f>IF('Employee Master'!B102="","",'Employee Master'!F102)</f>
        <v/>
      </c>
      <c r="F105" s="213">
        <f>IF('Employee Master'!B102="","",'Employee Master'!P102)</f>
        <v/>
      </c>
      <c r="G105" s="213">
        <f>IF('Employee Master'!B102="","",'Employee Master'!J102)</f>
        <v/>
      </c>
      <c r="H105" s="213">
        <f>IF('Employee Master'!B102="","",'Employee Master'!I102)</f>
        <v/>
      </c>
      <c r="I105" s="213">
        <f>IF('Employee Master'!B102="","",'Employee Master'!K102)</f>
        <v/>
      </c>
      <c r="J105" s="213">
        <f>IF('Employee Master'!B102="","",'Employee Master'!L102)</f>
        <v/>
      </c>
      <c r="K105" s="213">
        <f>IF('Employee Master'!B102="","",'Employee Master'!T102)</f>
        <v/>
      </c>
      <c r="L105" s="213">
        <f>IF('Employee Master'!B102="","",'Employee Master'!M102)</f>
        <v/>
      </c>
      <c r="M105" s="213">
        <f>IF('Employee Master'!B102="","",'Employee Master'!N102)</f>
        <v/>
      </c>
      <c r="N105" s="213">
        <f>IF('Employee Master'!B102="","",'Employee Master'!R102)</f>
        <v/>
      </c>
      <c r="O105" s="213">
        <f>IF('Employee Master'!B102="","",'Employee Master'!S102)</f>
        <v/>
      </c>
      <c r="P105" s="213">
        <f>IF('Employee Master'!B102="","",'Employee Master'!AD102)</f>
        <v/>
      </c>
    </row>
    <row r="106" ht="15" customHeight="1" s="120">
      <c r="A106" s="213">
        <f>IF('Employee Master'!B103="","",IF(AND('Employee Master'!AD103="Y",OR('Employee Master'!C103="3:45 AM",'Employee Master'!C103="5:45 AM"),'Employee Master'!E103="N"),"Y","N"))</f>
        <v/>
      </c>
      <c r="B106" s="213">
        <f>IF('Employee Master'!B103="","",'Employee Master'!B103)</f>
        <v/>
      </c>
      <c r="C106" s="213">
        <f>IF('Employee Master'!B103="","",'Employee Master'!C103)</f>
        <v/>
      </c>
      <c r="D106" s="213">
        <f>IF('Employee Master'!B103="","",'Employee Master'!E103)</f>
        <v/>
      </c>
      <c r="E106" s="213">
        <f>IF('Employee Master'!B103="","",'Employee Master'!F103)</f>
        <v/>
      </c>
      <c r="F106" s="213">
        <f>IF('Employee Master'!B103="","",'Employee Master'!P103)</f>
        <v/>
      </c>
      <c r="G106" s="213">
        <f>IF('Employee Master'!B103="","",'Employee Master'!J103)</f>
        <v/>
      </c>
      <c r="H106" s="213">
        <f>IF('Employee Master'!B103="","",'Employee Master'!I103)</f>
        <v/>
      </c>
      <c r="I106" s="213">
        <f>IF('Employee Master'!B103="","",'Employee Master'!K103)</f>
        <v/>
      </c>
      <c r="J106" s="213">
        <f>IF('Employee Master'!B103="","",'Employee Master'!L103)</f>
        <v/>
      </c>
      <c r="K106" s="213">
        <f>IF('Employee Master'!B103="","",'Employee Master'!T103)</f>
        <v/>
      </c>
      <c r="L106" s="213">
        <f>IF('Employee Master'!B103="","",'Employee Master'!M103)</f>
        <v/>
      </c>
      <c r="M106" s="213">
        <f>IF('Employee Master'!B103="","",'Employee Master'!N103)</f>
        <v/>
      </c>
      <c r="N106" s="213">
        <f>IF('Employee Master'!B103="","",'Employee Master'!R103)</f>
        <v/>
      </c>
      <c r="O106" s="213">
        <f>IF('Employee Master'!B103="","",'Employee Master'!S103)</f>
        <v/>
      </c>
      <c r="P106" s="213">
        <f>IF('Employee Master'!B103="","",'Employee Master'!AD103)</f>
        <v/>
      </c>
    </row>
    <row r="107" ht="15" customHeight="1" s="120">
      <c r="A107" s="213">
        <f>IF('Employee Master'!B104="","",IF(AND('Employee Master'!AD104="Y",OR('Employee Master'!C104="3:45 AM",'Employee Master'!C104="5:45 AM"),'Employee Master'!E104="N"),"Y","N"))</f>
        <v/>
      </c>
      <c r="B107" s="213">
        <f>IF('Employee Master'!B104="","",'Employee Master'!B104)</f>
        <v/>
      </c>
      <c r="C107" s="213">
        <f>IF('Employee Master'!B104="","",'Employee Master'!C104)</f>
        <v/>
      </c>
      <c r="D107" s="213">
        <f>IF('Employee Master'!B104="","",'Employee Master'!E104)</f>
        <v/>
      </c>
      <c r="E107" s="213">
        <f>IF('Employee Master'!B104="","",'Employee Master'!F104)</f>
        <v/>
      </c>
      <c r="F107" s="213">
        <f>IF('Employee Master'!B104="","",'Employee Master'!P104)</f>
        <v/>
      </c>
      <c r="G107" s="213">
        <f>IF('Employee Master'!B104="","",'Employee Master'!J104)</f>
        <v/>
      </c>
      <c r="H107" s="213">
        <f>IF('Employee Master'!B104="","",'Employee Master'!I104)</f>
        <v/>
      </c>
      <c r="I107" s="213">
        <f>IF('Employee Master'!B104="","",'Employee Master'!K104)</f>
        <v/>
      </c>
      <c r="J107" s="213">
        <f>IF('Employee Master'!B104="","",'Employee Master'!L104)</f>
        <v/>
      </c>
      <c r="K107" s="213">
        <f>IF('Employee Master'!B104="","",'Employee Master'!T104)</f>
        <v/>
      </c>
      <c r="L107" s="213">
        <f>IF('Employee Master'!B104="","",'Employee Master'!M104)</f>
        <v/>
      </c>
      <c r="M107" s="213">
        <f>IF('Employee Master'!B104="","",'Employee Master'!N104)</f>
        <v/>
      </c>
      <c r="N107" s="213">
        <f>IF('Employee Master'!B104="","",'Employee Master'!R104)</f>
        <v/>
      </c>
      <c r="O107" s="213">
        <f>IF('Employee Master'!B104="","",'Employee Master'!S104)</f>
        <v/>
      </c>
      <c r="P107" s="213">
        <f>IF('Employee Master'!B104="","",'Employee Master'!AD104)</f>
        <v/>
      </c>
    </row>
    <row r="108" ht="15" customHeight="1" s="120">
      <c r="A108" s="213">
        <f>IF('Employee Master'!B105="","",IF(AND('Employee Master'!AD105="Y",OR('Employee Master'!C105="3:45 AM",'Employee Master'!C105="5:45 AM"),'Employee Master'!E105="N"),"Y","N"))</f>
        <v/>
      </c>
      <c r="B108" s="213">
        <f>IF('Employee Master'!B105="","",'Employee Master'!B105)</f>
        <v/>
      </c>
      <c r="C108" s="213">
        <f>IF('Employee Master'!B105="","",'Employee Master'!C105)</f>
        <v/>
      </c>
      <c r="D108" s="213">
        <f>IF('Employee Master'!B105="","",'Employee Master'!E105)</f>
        <v/>
      </c>
      <c r="E108" s="213">
        <f>IF('Employee Master'!B105="","",'Employee Master'!F105)</f>
        <v/>
      </c>
      <c r="F108" s="213">
        <f>IF('Employee Master'!B105="","",'Employee Master'!P105)</f>
        <v/>
      </c>
      <c r="G108" s="213">
        <f>IF('Employee Master'!B105="","",'Employee Master'!J105)</f>
        <v/>
      </c>
      <c r="H108" s="213">
        <f>IF('Employee Master'!B105="","",'Employee Master'!I105)</f>
        <v/>
      </c>
      <c r="I108" s="213">
        <f>IF('Employee Master'!B105="","",'Employee Master'!K105)</f>
        <v/>
      </c>
      <c r="J108" s="213">
        <f>IF('Employee Master'!B105="","",'Employee Master'!L105)</f>
        <v/>
      </c>
      <c r="K108" s="213">
        <f>IF('Employee Master'!B105="","",'Employee Master'!T105)</f>
        <v/>
      </c>
      <c r="L108" s="213">
        <f>IF('Employee Master'!B105="","",'Employee Master'!M105)</f>
        <v/>
      </c>
      <c r="M108" s="213">
        <f>IF('Employee Master'!B105="","",'Employee Master'!N105)</f>
        <v/>
      </c>
      <c r="N108" s="213">
        <f>IF('Employee Master'!B105="","",'Employee Master'!R105)</f>
        <v/>
      </c>
      <c r="O108" s="213">
        <f>IF('Employee Master'!B105="","",'Employee Master'!S105)</f>
        <v/>
      </c>
      <c r="P108" s="213">
        <f>IF('Employee Master'!B105="","",'Employee Master'!AD105)</f>
        <v/>
      </c>
    </row>
    <row r="109" ht="15" customHeight="1" s="120">
      <c r="A109" s="213">
        <f>IF('Employee Master'!B106="","",IF(AND('Employee Master'!AD106="Y",OR('Employee Master'!C106="3:45 AM",'Employee Master'!C106="5:45 AM"),'Employee Master'!E106="N"),"Y","N"))</f>
        <v/>
      </c>
      <c r="B109" s="213">
        <f>IF('Employee Master'!B106="","",'Employee Master'!B106)</f>
        <v/>
      </c>
      <c r="C109" s="213">
        <f>IF('Employee Master'!B106="","",'Employee Master'!C106)</f>
        <v/>
      </c>
      <c r="D109" s="213">
        <f>IF('Employee Master'!B106="","",'Employee Master'!E106)</f>
        <v/>
      </c>
      <c r="E109" s="213">
        <f>IF('Employee Master'!B106="","",'Employee Master'!F106)</f>
        <v/>
      </c>
      <c r="F109" s="213">
        <f>IF('Employee Master'!B106="","",'Employee Master'!P106)</f>
        <v/>
      </c>
      <c r="G109" s="213">
        <f>IF('Employee Master'!B106="","",'Employee Master'!J106)</f>
        <v/>
      </c>
      <c r="H109" s="213">
        <f>IF('Employee Master'!B106="","",'Employee Master'!I106)</f>
        <v/>
      </c>
      <c r="I109" s="213">
        <f>IF('Employee Master'!B106="","",'Employee Master'!K106)</f>
        <v/>
      </c>
      <c r="J109" s="213">
        <f>IF('Employee Master'!B106="","",'Employee Master'!L106)</f>
        <v/>
      </c>
      <c r="K109" s="213">
        <f>IF('Employee Master'!B106="","",'Employee Master'!T106)</f>
        <v/>
      </c>
      <c r="L109" s="213">
        <f>IF('Employee Master'!B106="","",'Employee Master'!M106)</f>
        <v/>
      </c>
      <c r="M109" s="213">
        <f>IF('Employee Master'!B106="","",'Employee Master'!N106)</f>
        <v/>
      </c>
      <c r="N109" s="213">
        <f>IF('Employee Master'!B106="","",'Employee Master'!R106)</f>
        <v/>
      </c>
      <c r="O109" s="213">
        <f>IF('Employee Master'!B106="","",'Employee Master'!S106)</f>
        <v/>
      </c>
      <c r="P109" s="213">
        <f>IF('Employee Master'!B106="","",'Employee Master'!AD106)</f>
        <v/>
      </c>
    </row>
    <row r="110" ht="15" customHeight="1" s="120">
      <c r="A110" s="213">
        <f>IF('Employee Master'!B107="","",IF(AND('Employee Master'!AD107="Y",OR('Employee Master'!C107="3:45 AM",'Employee Master'!C107="5:45 AM"),'Employee Master'!E107="N"),"Y","N"))</f>
        <v/>
      </c>
      <c r="B110" s="213">
        <f>IF('Employee Master'!B107="","",'Employee Master'!B107)</f>
        <v/>
      </c>
      <c r="C110" s="213">
        <f>IF('Employee Master'!B107="","",'Employee Master'!C107)</f>
        <v/>
      </c>
      <c r="D110" s="213">
        <f>IF('Employee Master'!B107="","",'Employee Master'!E107)</f>
        <v/>
      </c>
      <c r="E110" s="213">
        <f>IF('Employee Master'!B107="","",'Employee Master'!F107)</f>
        <v/>
      </c>
      <c r="F110" s="213">
        <f>IF('Employee Master'!B107="","",'Employee Master'!P107)</f>
        <v/>
      </c>
      <c r="G110" s="213">
        <f>IF('Employee Master'!B107="","",'Employee Master'!J107)</f>
        <v/>
      </c>
      <c r="H110" s="213">
        <f>IF('Employee Master'!B107="","",'Employee Master'!I107)</f>
        <v/>
      </c>
      <c r="I110" s="213">
        <f>IF('Employee Master'!B107="","",'Employee Master'!K107)</f>
        <v/>
      </c>
      <c r="J110" s="213">
        <f>IF('Employee Master'!B107="","",'Employee Master'!L107)</f>
        <v/>
      </c>
      <c r="K110" s="213">
        <f>IF('Employee Master'!B107="","",'Employee Master'!T107)</f>
        <v/>
      </c>
      <c r="L110" s="213">
        <f>IF('Employee Master'!B107="","",'Employee Master'!M107)</f>
        <v/>
      </c>
      <c r="M110" s="213">
        <f>IF('Employee Master'!B107="","",'Employee Master'!N107)</f>
        <v/>
      </c>
      <c r="N110" s="213">
        <f>IF('Employee Master'!B107="","",'Employee Master'!R107)</f>
        <v/>
      </c>
      <c r="O110" s="213">
        <f>IF('Employee Master'!B107="","",'Employee Master'!S107)</f>
        <v/>
      </c>
      <c r="P110" s="213">
        <f>IF('Employee Master'!B107="","",'Employee Master'!AD107)</f>
        <v/>
      </c>
    </row>
    <row r="111" ht="15" customHeight="1" s="120">
      <c r="A111" s="213">
        <f>IF('Employee Master'!B108="","",IF(AND('Employee Master'!AD108="Y",OR('Employee Master'!C108="3:45 AM",'Employee Master'!C108="5:45 AM"),'Employee Master'!E108="N"),"Y","N"))</f>
        <v/>
      </c>
      <c r="B111" s="213">
        <f>IF('Employee Master'!B108="","",'Employee Master'!B108)</f>
        <v/>
      </c>
      <c r="C111" s="213">
        <f>IF('Employee Master'!B108="","",'Employee Master'!C108)</f>
        <v/>
      </c>
      <c r="D111" s="213">
        <f>IF('Employee Master'!B108="","",'Employee Master'!E108)</f>
        <v/>
      </c>
      <c r="E111" s="213">
        <f>IF('Employee Master'!B108="","",'Employee Master'!F108)</f>
        <v/>
      </c>
      <c r="F111" s="213">
        <f>IF('Employee Master'!B108="","",'Employee Master'!P108)</f>
        <v/>
      </c>
      <c r="G111" s="213">
        <f>IF('Employee Master'!B108="","",'Employee Master'!J108)</f>
        <v/>
      </c>
      <c r="H111" s="213">
        <f>IF('Employee Master'!B108="","",'Employee Master'!I108)</f>
        <v/>
      </c>
      <c r="I111" s="213">
        <f>IF('Employee Master'!B108="","",'Employee Master'!K108)</f>
        <v/>
      </c>
      <c r="J111" s="213">
        <f>IF('Employee Master'!B108="","",'Employee Master'!L108)</f>
        <v/>
      </c>
      <c r="K111" s="213">
        <f>IF('Employee Master'!B108="","",'Employee Master'!T108)</f>
        <v/>
      </c>
      <c r="L111" s="213">
        <f>IF('Employee Master'!B108="","",'Employee Master'!M108)</f>
        <v/>
      </c>
      <c r="M111" s="213">
        <f>IF('Employee Master'!B108="","",'Employee Master'!N108)</f>
        <v/>
      </c>
      <c r="N111" s="213">
        <f>IF('Employee Master'!B108="","",'Employee Master'!R108)</f>
        <v/>
      </c>
      <c r="O111" s="213">
        <f>IF('Employee Master'!B108="","",'Employee Master'!S108)</f>
        <v/>
      </c>
      <c r="P111" s="213">
        <f>IF('Employee Master'!B108="","",'Employee Master'!AD108)</f>
        <v/>
      </c>
    </row>
    <row r="112" ht="15" customHeight="1" s="120">
      <c r="A112" s="213">
        <f>IF('Employee Master'!B109="","",IF(AND('Employee Master'!AD109="Y",OR('Employee Master'!C109="3:45 AM",'Employee Master'!C109="5:45 AM"),'Employee Master'!E109="N"),"Y","N"))</f>
        <v/>
      </c>
      <c r="B112" s="213">
        <f>IF('Employee Master'!B109="","",'Employee Master'!B109)</f>
        <v/>
      </c>
      <c r="C112" s="213">
        <f>IF('Employee Master'!B109="","",'Employee Master'!C109)</f>
        <v/>
      </c>
      <c r="D112" s="213">
        <f>IF('Employee Master'!B109="","",'Employee Master'!E109)</f>
        <v/>
      </c>
      <c r="E112" s="213">
        <f>IF('Employee Master'!B109="","",'Employee Master'!F109)</f>
        <v/>
      </c>
      <c r="F112" s="213">
        <f>IF('Employee Master'!B109="","",'Employee Master'!P109)</f>
        <v/>
      </c>
      <c r="G112" s="213">
        <f>IF('Employee Master'!B109="","",'Employee Master'!J109)</f>
        <v/>
      </c>
      <c r="H112" s="213">
        <f>IF('Employee Master'!B109="","",'Employee Master'!I109)</f>
        <v/>
      </c>
      <c r="I112" s="213">
        <f>IF('Employee Master'!B109="","",'Employee Master'!K109)</f>
        <v/>
      </c>
      <c r="J112" s="213">
        <f>IF('Employee Master'!B109="","",'Employee Master'!L109)</f>
        <v/>
      </c>
      <c r="K112" s="213">
        <f>IF('Employee Master'!B109="","",'Employee Master'!T109)</f>
        <v/>
      </c>
      <c r="L112" s="213">
        <f>IF('Employee Master'!B109="","",'Employee Master'!M109)</f>
        <v/>
      </c>
      <c r="M112" s="213">
        <f>IF('Employee Master'!B109="","",'Employee Master'!N109)</f>
        <v/>
      </c>
      <c r="N112" s="213">
        <f>IF('Employee Master'!B109="","",'Employee Master'!R109)</f>
        <v/>
      </c>
      <c r="O112" s="213">
        <f>IF('Employee Master'!B109="","",'Employee Master'!S109)</f>
        <v/>
      </c>
      <c r="P112" s="213">
        <f>IF('Employee Master'!B109="","",'Employee Master'!AD109)</f>
        <v/>
      </c>
    </row>
    <row r="113" ht="15" customHeight="1" s="120">
      <c r="A113" s="213">
        <f>IF('Employee Master'!B110="","",IF(AND('Employee Master'!AD110="Y",OR('Employee Master'!C110="3:45 AM",'Employee Master'!C110="5:45 AM"),'Employee Master'!E110="N"),"Y","N"))</f>
        <v/>
      </c>
      <c r="B113" s="213">
        <f>IF('Employee Master'!B110="","",'Employee Master'!B110)</f>
        <v/>
      </c>
      <c r="C113" s="213">
        <f>IF('Employee Master'!B110="","",'Employee Master'!C110)</f>
        <v/>
      </c>
      <c r="D113" s="213">
        <f>IF('Employee Master'!B110="","",'Employee Master'!E110)</f>
        <v/>
      </c>
      <c r="E113" s="213">
        <f>IF('Employee Master'!B110="","",'Employee Master'!F110)</f>
        <v/>
      </c>
      <c r="F113" s="213">
        <f>IF('Employee Master'!B110="","",'Employee Master'!P110)</f>
        <v/>
      </c>
      <c r="G113" s="213">
        <f>IF('Employee Master'!B110="","",'Employee Master'!J110)</f>
        <v/>
      </c>
      <c r="H113" s="213">
        <f>IF('Employee Master'!B110="","",'Employee Master'!I110)</f>
        <v/>
      </c>
      <c r="I113" s="213">
        <f>IF('Employee Master'!B110="","",'Employee Master'!K110)</f>
        <v/>
      </c>
      <c r="J113" s="213">
        <f>IF('Employee Master'!B110="","",'Employee Master'!L110)</f>
        <v/>
      </c>
      <c r="K113" s="213">
        <f>IF('Employee Master'!B110="","",'Employee Master'!T110)</f>
        <v/>
      </c>
      <c r="L113" s="213">
        <f>IF('Employee Master'!B110="","",'Employee Master'!M110)</f>
        <v/>
      </c>
      <c r="M113" s="213">
        <f>IF('Employee Master'!B110="","",'Employee Master'!N110)</f>
        <v/>
      </c>
      <c r="N113" s="213">
        <f>IF('Employee Master'!B110="","",'Employee Master'!R110)</f>
        <v/>
      </c>
      <c r="O113" s="213">
        <f>IF('Employee Master'!B110="","",'Employee Master'!S110)</f>
        <v/>
      </c>
      <c r="P113" s="213">
        <f>IF('Employee Master'!B110="","",'Employee Master'!AD110)</f>
        <v/>
      </c>
    </row>
    <row r="114" ht="15" customHeight="1" s="120">
      <c r="A114" s="213">
        <f>IF('Employee Master'!B111="","",IF(AND('Employee Master'!AD111="Y",OR('Employee Master'!C111="3:45 AM",'Employee Master'!C111="5:45 AM"),'Employee Master'!E111="N"),"Y","N"))</f>
        <v/>
      </c>
      <c r="B114" s="213">
        <f>IF('Employee Master'!B111="","",'Employee Master'!B111)</f>
        <v/>
      </c>
      <c r="C114" s="213">
        <f>IF('Employee Master'!B111="","",'Employee Master'!C111)</f>
        <v/>
      </c>
      <c r="D114" s="213">
        <f>IF('Employee Master'!B111="","",'Employee Master'!E111)</f>
        <v/>
      </c>
      <c r="E114" s="213">
        <f>IF('Employee Master'!B111="","",'Employee Master'!F111)</f>
        <v/>
      </c>
      <c r="F114" s="213">
        <f>IF('Employee Master'!B111="","",'Employee Master'!P111)</f>
        <v/>
      </c>
      <c r="G114" s="213">
        <f>IF('Employee Master'!B111="","",'Employee Master'!J111)</f>
        <v/>
      </c>
      <c r="H114" s="213">
        <f>IF('Employee Master'!B111="","",'Employee Master'!I111)</f>
        <v/>
      </c>
      <c r="I114" s="213">
        <f>IF('Employee Master'!B111="","",'Employee Master'!K111)</f>
        <v/>
      </c>
      <c r="J114" s="213">
        <f>IF('Employee Master'!B111="","",'Employee Master'!L111)</f>
        <v/>
      </c>
      <c r="K114" s="213">
        <f>IF('Employee Master'!B111="","",'Employee Master'!T111)</f>
        <v/>
      </c>
      <c r="L114" s="213">
        <f>IF('Employee Master'!B111="","",'Employee Master'!M111)</f>
        <v/>
      </c>
      <c r="M114" s="213">
        <f>IF('Employee Master'!B111="","",'Employee Master'!N111)</f>
        <v/>
      </c>
      <c r="N114" s="213">
        <f>IF('Employee Master'!B111="","",'Employee Master'!R111)</f>
        <v/>
      </c>
      <c r="O114" s="213">
        <f>IF('Employee Master'!B111="","",'Employee Master'!S111)</f>
        <v/>
      </c>
      <c r="P114" s="213">
        <f>IF('Employee Master'!B111="","",'Employee Master'!AD111)</f>
        <v/>
      </c>
    </row>
    <row r="115" ht="15" customHeight="1" s="120">
      <c r="A115" s="213">
        <f>IF('Employee Master'!B112="","",IF(AND('Employee Master'!AD112="Y",OR('Employee Master'!C112="3:45 AM",'Employee Master'!C112="5:45 AM"),'Employee Master'!E112="N"),"Y","N"))</f>
        <v/>
      </c>
      <c r="B115" s="213">
        <f>IF('Employee Master'!B112="","",'Employee Master'!B112)</f>
        <v/>
      </c>
      <c r="C115" s="213">
        <f>IF('Employee Master'!B112="","",'Employee Master'!C112)</f>
        <v/>
      </c>
      <c r="D115" s="213">
        <f>IF('Employee Master'!B112="","",'Employee Master'!E112)</f>
        <v/>
      </c>
      <c r="E115" s="213">
        <f>IF('Employee Master'!B112="","",'Employee Master'!F112)</f>
        <v/>
      </c>
      <c r="F115" s="213">
        <f>IF('Employee Master'!B112="","",'Employee Master'!P112)</f>
        <v/>
      </c>
      <c r="G115" s="213">
        <f>IF('Employee Master'!B112="","",'Employee Master'!J112)</f>
        <v/>
      </c>
      <c r="H115" s="213">
        <f>IF('Employee Master'!B112="","",'Employee Master'!I112)</f>
        <v/>
      </c>
      <c r="I115" s="213">
        <f>IF('Employee Master'!B112="","",'Employee Master'!K112)</f>
        <v/>
      </c>
      <c r="J115" s="213">
        <f>IF('Employee Master'!B112="","",'Employee Master'!L112)</f>
        <v/>
      </c>
      <c r="K115" s="213">
        <f>IF('Employee Master'!B112="","",'Employee Master'!T112)</f>
        <v/>
      </c>
      <c r="L115" s="213">
        <f>IF('Employee Master'!B112="","",'Employee Master'!M112)</f>
        <v/>
      </c>
      <c r="M115" s="213">
        <f>IF('Employee Master'!B112="","",'Employee Master'!N112)</f>
        <v/>
      </c>
      <c r="N115" s="213">
        <f>IF('Employee Master'!B112="","",'Employee Master'!R112)</f>
        <v/>
      </c>
      <c r="O115" s="213">
        <f>IF('Employee Master'!B112="","",'Employee Master'!S112)</f>
        <v/>
      </c>
      <c r="P115" s="213">
        <f>IF('Employee Master'!B112="","",'Employee Master'!AD112)</f>
        <v/>
      </c>
    </row>
    <row r="116" ht="15" customHeight="1" s="120">
      <c r="A116" s="213">
        <f>IF('Employee Master'!B113="","",IF(AND('Employee Master'!AD113="Y",OR('Employee Master'!C113="3:45 AM",'Employee Master'!C113="5:45 AM"),'Employee Master'!E113="N"),"Y","N"))</f>
        <v/>
      </c>
      <c r="B116" s="213">
        <f>IF('Employee Master'!B113="","",'Employee Master'!B113)</f>
        <v/>
      </c>
      <c r="C116" s="213">
        <f>IF('Employee Master'!B113="","",'Employee Master'!C113)</f>
        <v/>
      </c>
      <c r="D116" s="213">
        <f>IF('Employee Master'!B113="","",'Employee Master'!E113)</f>
        <v/>
      </c>
      <c r="E116" s="213">
        <f>IF('Employee Master'!B113="","",'Employee Master'!F113)</f>
        <v/>
      </c>
      <c r="F116" s="213">
        <f>IF('Employee Master'!B113="","",'Employee Master'!P113)</f>
        <v/>
      </c>
      <c r="G116" s="213">
        <f>IF('Employee Master'!B113="","",'Employee Master'!J113)</f>
        <v/>
      </c>
      <c r="H116" s="213">
        <f>IF('Employee Master'!B113="","",'Employee Master'!I113)</f>
        <v/>
      </c>
      <c r="I116" s="213">
        <f>IF('Employee Master'!B113="","",'Employee Master'!K113)</f>
        <v/>
      </c>
      <c r="J116" s="213">
        <f>IF('Employee Master'!B113="","",'Employee Master'!L113)</f>
        <v/>
      </c>
      <c r="K116" s="213">
        <f>IF('Employee Master'!B113="","",'Employee Master'!T113)</f>
        <v/>
      </c>
      <c r="L116" s="213">
        <f>IF('Employee Master'!B113="","",'Employee Master'!M113)</f>
        <v/>
      </c>
      <c r="M116" s="213">
        <f>IF('Employee Master'!B113="","",'Employee Master'!N113)</f>
        <v/>
      </c>
      <c r="N116" s="213">
        <f>IF('Employee Master'!B113="","",'Employee Master'!R113)</f>
        <v/>
      </c>
      <c r="O116" s="213">
        <f>IF('Employee Master'!B113="","",'Employee Master'!S113)</f>
        <v/>
      </c>
      <c r="P116" s="213">
        <f>IF('Employee Master'!B113="","",'Employee Master'!AD113)</f>
        <v/>
      </c>
    </row>
    <row r="117" ht="15" customHeight="1" s="120">
      <c r="A117" s="213">
        <f>IF('Employee Master'!B114="","",IF(AND('Employee Master'!AD114="Y",OR('Employee Master'!C114="3:45 AM",'Employee Master'!C114="5:45 AM"),'Employee Master'!E114="N"),"Y","N"))</f>
        <v/>
      </c>
      <c r="B117" s="213">
        <f>IF('Employee Master'!B114="","",'Employee Master'!B114)</f>
        <v/>
      </c>
      <c r="C117" s="213">
        <f>IF('Employee Master'!B114="","",'Employee Master'!C114)</f>
        <v/>
      </c>
      <c r="D117" s="213">
        <f>IF('Employee Master'!B114="","",'Employee Master'!E114)</f>
        <v/>
      </c>
      <c r="E117" s="213">
        <f>IF('Employee Master'!B114="","",'Employee Master'!F114)</f>
        <v/>
      </c>
      <c r="F117" s="213">
        <f>IF('Employee Master'!B114="","",'Employee Master'!P114)</f>
        <v/>
      </c>
      <c r="G117" s="213">
        <f>IF('Employee Master'!B114="","",'Employee Master'!J114)</f>
        <v/>
      </c>
      <c r="H117" s="213">
        <f>IF('Employee Master'!B114="","",'Employee Master'!I114)</f>
        <v/>
      </c>
      <c r="I117" s="213">
        <f>IF('Employee Master'!B114="","",'Employee Master'!K114)</f>
        <v/>
      </c>
      <c r="J117" s="213">
        <f>IF('Employee Master'!B114="","",'Employee Master'!L114)</f>
        <v/>
      </c>
      <c r="K117" s="213">
        <f>IF('Employee Master'!B114="","",'Employee Master'!T114)</f>
        <v/>
      </c>
      <c r="L117" s="213">
        <f>IF('Employee Master'!B114="","",'Employee Master'!M114)</f>
        <v/>
      </c>
      <c r="M117" s="213">
        <f>IF('Employee Master'!B114="","",'Employee Master'!N114)</f>
        <v/>
      </c>
      <c r="N117" s="213">
        <f>IF('Employee Master'!B114="","",'Employee Master'!R114)</f>
        <v/>
      </c>
      <c r="O117" s="213">
        <f>IF('Employee Master'!B114="","",'Employee Master'!S114)</f>
        <v/>
      </c>
      <c r="P117" s="213">
        <f>IF('Employee Master'!B114="","",'Employee Master'!AD114)</f>
        <v/>
      </c>
    </row>
    <row r="118" ht="15" customHeight="1" s="120">
      <c r="A118" s="213">
        <f>IF('Employee Master'!B115="","",IF(AND('Employee Master'!AD115="Y",OR('Employee Master'!C115="3:45 AM",'Employee Master'!C115="5:45 AM"),'Employee Master'!E115="N"),"Y","N"))</f>
        <v/>
      </c>
      <c r="B118" s="213">
        <f>IF('Employee Master'!B115="","",'Employee Master'!B115)</f>
        <v/>
      </c>
      <c r="C118" s="213">
        <f>IF('Employee Master'!B115="","",'Employee Master'!C115)</f>
        <v/>
      </c>
      <c r="D118" s="213">
        <f>IF('Employee Master'!B115="","",'Employee Master'!E115)</f>
        <v/>
      </c>
      <c r="E118" s="213">
        <f>IF('Employee Master'!B115="","",'Employee Master'!F115)</f>
        <v/>
      </c>
      <c r="F118" s="213">
        <f>IF('Employee Master'!B115="","",'Employee Master'!P115)</f>
        <v/>
      </c>
      <c r="G118" s="213">
        <f>IF('Employee Master'!B115="","",'Employee Master'!J115)</f>
        <v/>
      </c>
      <c r="H118" s="213">
        <f>IF('Employee Master'!B115="","",'Employee Master'!I115)</f>
        <v/>
      </c>
      <c r="I118" s="213">
        <f>IF('Employee Master'!B115="","",'Employee Master'!K115)</f>
        <v/>
      </c>
      <c r="J118" s="213">
        <f>IF('Employee Master'!B115="","",'Employee Master'!L115)</f>
        <v/>
      </c>
      <c r="K118" s="213">
        <f>IF('Employee Master'!B115="","",'Employee Master'!T115)</f>
        <v/>
      </c>
      <c r="L118" s="213">
        <f>IF('Employee Master'!B115="","",'Employee Master'!M115)</f>
        <v/>
      </c>
      <c r="M118" s="213">
        <f>IF('Employee Master'!B115="","",'Employee Master'!N115)</f>
        <v/>
      </c>
      <c r="N118" s="213">
        <f>IF('Employee Master'!B115="","",'Employee Master'!R115)</f>
        <v/>
      </c>
      <c r="O118" s="213">
        <f>IF('Employee Master'!B115="","",'Employee Master'!S115)</f>
        <v/>
      </c>
      <c r="P118" s="213">
        <f>IF('Employee Master'!B115="","",'Employee Master'!AD115)</f>
        <v/>
      </c>
    </row>
    <row r="119" ht="15" customHeight="1" s="120">
      <c r="A119" s="213">
        <f>IF('Employee Master'!B116="","",IF(AND('Employee Master'!AD116="Y",OR('Employee Master'!C116="3:45 AM",'Employee Master'!C116="5:45 AM"),'Employee Master'!E116="N"),"Y","N"))</f>
        <v/>
      </c>
      <c r="B119" s="213">
        <f>IF('Employee Master'!B116="","",'Employee Master'!B116)</f>
        <v/>
      </c>
      <c r="C119" s="213">
        <f>IF('Employee Master'!B116="","",'Employee Master'!C116)</f>
        <v/>
      </c>
      <c r="D119" s="213">
        <f>IF('Employee Master'!B116="","",'Employee Master'!E116)</f>
        <v/>
      </c>
      <c r="E119" s="213">
        <f>IF('Employee Master'!B116="","",'Employee Master'!F116)</f>
        <v/>
      </c>
      <c r="F119" s="213">
        <f>IF('Employee Master'!B116="","",'Employee Master'!P116)</f>
        <v/>
      </c>
      <c r="G119" s="213">
        <f>IF('Employee Master'!B116="","",'Employee Master'!J116)</f>
        <v/>
      </c>
      <c r="H119" s="213">
        <f>IF('Employee Master'!B116="","",'Employee Master'!I116)</f>
        <v/>
      </c>
      <c r="I119" s="213">
        <f>IF('Employee Master'!B116="","",'Employee Master'!K116)</f>
        <v/>
      </c>
      <c r="J119" s="213">
        <f>IF('Employee Master'!B116="","",'Employee Master'!L116)</f>
        <v/>
      </c>
      <c r="K119" s="213">
        <f>IF('Employee Master'!B116="","",'Employee Master'!T116)</f>
        <v/>
      </c>
      <c r="L119" s="213">
        <f>IF('Employee Master'!B116="","",'Employee Master'!M116)</f>
        <v/>
      </c>
      <c r="M119" s="213">
        <f>IF('Employee Master'!B116="","",'Employee Master'!N116)</f>
        <v/>
      </c>
      <c r="N119" s="213">
        <f>IF('Employee Master'!B116="","",'Employee Master'!R116)</f>
        <v/>
      </c>
      <c r="O119" s="213">
        <f>IF('Employee Master'!B116="","",'Employee Master'!S116)</f>
        <v/>
      </c>
      <c r="P119" s="213">
        <f>IF('Employee Master'!B116="","",'Employee Master'!AD116)</f>
        <v/>
      </c>
    </row>
    <row r="120" ht="15" customHeight="1" s="120">
      <c r="A120" s="213">
        <f>IF('Employee Master'!B117="","",IF(AND('Employee Master'!AD117="Y",OR('Employee Master'!C117="3:45 AM",'Employee Master'!C117="5:45 AM"),'Employee Master'!E117="N"),"Y","N"))</f>
        <v/>
      </c>
      <c r="B120" s="213">
        <f>IF('Employee Master'!B117="","",'Employee Master'!B117)</f>
        <v/>
      </c>
      <c r="C120" s="213">
        <f>IF('Employee Master'!B117="","",'Employee Master'!C117)</f>
        <v/>
      </c>
      <c r="D120" s="213">
        <f>IF('Employee Master'!B117="","",'Employee Master'!E117)</f>
        <v/>
      </c>
      <c r="E120" s="213">
        <f>IF('Employee Master'!B117="","",'Employee Master'!F117)</f>
        <v/>
      </c>
      <c r="F120" s="213">
        <f>IF('Employee Master'!B117="","",'Employee Master'!P117)</f>
        <v/>
      </c>
      <c r="G120" s="213">
        <f>IF('Employee Master'!B117="","",'Employee Master'!J117)</f>
        <v/>
      </c>
      <c r="H120" s="213">
        <f>IF('Employee Master'!B117="","",'Employee Master'!I117)</f>
        <v/>
      </c>
      <c r="I120" s="213">
        <f>IF('Employee Master'!B117="","",'Employee Master'!K117)</f>
        <v/>
      </c>
      <c r="J120" s="213">
        <f>IF('Employee Master'!B117="","",'Employee Master'!L117)</f>
        <v/>
      </c>
      <c r="K120" s="213">
        <f>IF('Employee Master'!B117="","",'Employee Master'!T117)</f>
        <v/>
      </c>
      <c r="L120" s="213">
        <f>IF('Employee Master'!B117="","",'Employee Master'!M117)</f>
        <v/>
      </c>
      <c r="M120" s="213">
        <f>IF('Employee Master'!B117="","",'Employee Master'!N117)</f>
        <v/>
      </c>
      <c r="N120" s="213">
        <f>IF('Employee Master'!B117="","",'Employee Master'!R117)</f>
        <v/>
      </c>
      <c r="O120" s="213">
        <f>IF('Employee Master'!B117="","",'Employee Master'!S117)</f>
        <v/>
      </c>
      <c r="P120" s="213">
        <f>IF('Employee Master'!B117="","",'Employee Master'!AD117)</f>
        <v/>
      </c>
    </row>
    <row r="121" ht="15" customHeight="1" s="120">
      <c r="A121" s="213">
        <f>IF('Employee Master'!B118="","",IF(AND('Employee Master'!AD118="Y",OR('Employee Master'!C118="3:45 AM",'Employee Master'!C118="5:45 AM"),'Employee Master'!E118="N"),"Y","N"))</f>
        <v/>
      </c>
      <c r="B121" s="213">
        <f>IF('Employee Master'!B118="","",'Employee Master'!B118)</f>
        <v/>
      </c>
      <c r="C121" s="213">
        <f>IF('Employee Master'!B118="","",'Employee Master'!C118)</f>
        <v/>
      </c>
      <c r="D121" s="213">
        <f>IF('Employee Master'!B118="","",'Employee Master'!E118)</f>
        <v/>
      </c>
      <c r="E121" s="213">
        <f>IF('Employee Master'!B118="","",'Employee Master'!F118)</f>
        <v/>
      </c>
      <c r="F121" s="213">
        <f>IF('Employee Master'!B118="","",'Employee Master'!P118)</f>
        <v/>
      </c>
      <c r="G121" s="213">
        <f>IF('Employee Master'!B118="","",'Employee Master'!J118)</f>
        <v/>
      </c>
      <c r="H121" s="213">
        <f>IF('Employee Master'!B118="","",'Employee Master'!I118)</f>
        <v/>
      </c>
      <c r="I121" s="213">
        <f>IF('Employee Master'!B118="","",'Employee Master'!K118)</f>
        <v/>
      </c>
      <c r="J121" s="213">
        <f>IF('Employee Master'!B118="","",'Employee Master'!L118)</f>
        <v/>
      </c>
      <c r="K121" s="213">
        <f>IF('Employee Master'!B118="","",'Employee Master'!T118)</f>
        <v/>
      </c>
      <c r="L121" s="213">
        <f>IF('Employee Master'!B118="","",'Employee Master'!M118)</f>
        <v/>
      </c>
      <c r="M121" s="213">
        <f>IF('Employee Master'!B118="","",'Employee Master'!N118)</f>
        <v/>
      </c>
      <c r="N121" s="213">
        <f>IF('Employee Master'!B118="","",'Employee Master'!R118)</f>
        <v/>
      </c>
      <c r="O121" s="213">
        <f>IF('Employee Master'!B118="","",'Employee Master'!S118)</f>
        <v/>
      </c>
      <c r="P121" s="213">
        <f>IF('Employee Master'!B118="","",'Employee Master'!AD118)</f>
        <v/>
      </c>
    </row>
    <row r="122" ht="15" customHeight="1" s="120">
      <c r="A122" s="213">
        <f>IF('Employee Master'!B119="","",IF(AND('Employee Master'!AD119="Y",OR('Employee Master'!C119="3:45 AM",'Employee Master'!C119="5:45 AM"),'Employee Master'!E119="N"),"Y","N"))</f>
        <v/>
      </c>
      <c r="B122" s="213">
        <f>IF('Employee Master'!B119="","",'Employee Master'!B119)</f>
        <v/>
      </c>
      <c r="C122" s="213">
        <f>IF('Employee Master'!B119="","",'Employee Master'!C119)</f>
        <v/>
      </c>
      <c r="D122" s="213">
        <f>IF('Employee Master'!B119="","",'Employee Master'!E119)</f>
        <v/>
      </c>
      <c r="E122" s="213">
        <f>IF('Employee Master'!B119="","",'Employee Master'!F119)</f>
        <v/>
      </c>
      <c r="F122" s="213">
        <f>IF('Employee Master'!B119="","",'Employee Master'!P119)</f>
        <v/>
      </c>
      <c r="G122" s="213">
        <f>IF('Employee Master'!B119="","",'Employee Master'!J119)</f>
        <v/>
      </c>
      <c r="H122" s="213">
        <f>IF('Employee Master'!B119="","",'Employee Master'!I119)</f>
        <v/>
      </c>
      <c r="I122" s="213">
        <f>IF('Employee Master'!B119="","",'Employee Master'!K119)</f>
        <v/>
      </c>
      <c r="J122" s="213">
        <f>IF('Employee Master'!B119="","",'Employee Master'!L119)</f>
        <v/>
      </c>
      <c r="K122" s="213">
        <f>IF('Employee Master'!B119="","",'Employee Master'!T119)</f>
        <v/>
      </c>
      <c r="L122" s="213">
        <f>IF('Employee Master'!B119="","",'Employee Master'!M119)</f>
        <v/>
      </c>
      <c r="M122" s="213">
        <f>IF('Employee Master'!B119="","",'Employee Master'!N119)</f>
        <v/>
      </c>
      <c r="N122" s="213">
        <f>IF('Employee Master'!B119="","",'Employee Master'!R119)</f>
        <v/>
      </c>
      <c r="O122" s="213">
        <f>IF('Employee Master'!B119="","",'Employee Master'!S119)</f>
        <v/>
      </c>
      <c r="P122" s="213">
        <f>IF('Employee Master'!B119="","",'Employee Master'!AD119)</f>
        <v/>
      </c>
    </row>
    <row r="123" ht="15" customHeight="1" s="120">
      <c r="A123" s="213">
        <f>IF('Employee Master'!B120="","",IF(AND('Employee Master'!AD120="Y",OR('Employee Master'!C120="3:45 AM",'Employee Master'!C120="5:45 AM"),'Employee Master'!E120="N"),"Y","N"))</f>
        <v/>
      </c>
      <c r="B123" s="213">
        <f>IF('Employee Master'!B120="","",'Employee Master'!B120)</f>
        <v/>
      </c>
      <c r="C123" s="213">
        <f>IF('Employee Master'!B120="","",'Employee Master'!C120)</f>
        <v/>
      </c>
      <c r="D123" s="213">
        <f>IF('Employee Master'!B120="","",'Employee Master'!E120)</f>
        <v/>
      </c>
      <c r="E123" s="213">
        <f>IF('Employee Master'!B120="","",'Employee Master'!F120)</f>
        <v/>
      </c>
      <c r="F123" s="213">
        <f>IF('Employee Master'!B120="","",'Employee Master'!P120)</f>
        <v/>
      </c>
      <c r="G123" s="213">
        <f>IF('Employee Master'!B120="","",'Employee Master'!J120)</f>
        <v/>
      </c>
      <c r="H123" s="213">
        <f>IF('Employee Master'!B120="","",'Employee Master'!I120)</f>
        <v/>
      </c>
      <c r="I123" s="213">
        <f>IF('Employee Master'!B120="","",'Employee Master'!K120)</f>
        <v/>
      </c>
      <c r="J123" s="213">
        <f>IF('Employee Master'!B120="","",'Employee Master'!L120)</f>
        <v/>
      </c>
      <c r="K123" s="213">
        <f>IF('Employee Master'!B120="","",'Employee Master'!T120)</f>
        <v/>
      </c>
      <c r="L123" s="213">
        <f>IF('Employee Master'!B120="","",'Employee Master'!M120)</f>
        <v/>
      </c>
      <c r="M123" s="213">
        <f>IF('Employee Master'!B120="","",'Employee Master'!N120)</f>
        <v/>
      </c>
      <c r="N123" s="213">
        <f>IF('Employee Master'!B120="","",'Employee Master'!R120)</f>
        <v/>
      </c>
      <c r="O123" s="213">
        <f>IF('Employee Master'!B120="","",'Employee Master'!S120)</f>
        <v/>
      </c>
      <c r="P123" s="213">
        <f>IF('Employee Master'!B120="","",'Employee Master'!AD120)</f>
        <v/>
      </c>
    </row>
    <row r="124" ht="15" customHeight="1" s="120">
      <c r="A124" s="213">
        <f>IF('Employee Master'!B121="","",IF(AND('Employee Master'!AD121="Y",OR('Employee Master'!C121="3:45 AM",'Employee Master'!C121="5:45 AM"),'Employee Master'!E121="N"),"Y","N"))</f>
        <v/>
      </c>
      <c r="B124" s="213">
        <f>IF('Employee Master'!B121="","",'Employee Master'!B121)</f>
        <v/>
      </c>
      <c r="C124" s="213">
        <f>IF('Employee Master'!B121="","",'Employee Master'!C121)</f>
        <v/>
      </c>
      <c r="D124" s="213">
        <f>IF('Employee Master'!B121="","",'Employee Master'!E121)</f>
        <v/>
      </c>
      <c r="E124" s="213">
        <f>IF('Employee Master'!B121="","",'Employee Master'!F121)</f>
        <v/>
      </c>
      <c r="F124" s="213">
        <f>IF('Employee Master'!B121="","",'Employee Master'!P121)</f>
        <v/>
      </c>
      <c r="G124" s="213">
        <f>IF('Employee Master'!B121="","",'Employee Master'!J121)</f>
        <v/>
      </c>
      <c r="H124" s="213">
        <f>IF('Employee Master'!B121="","",'Employee Master'!I121)</f>
        <v/>
      </c>
      <c r="I124" s="213">
        <f>IF('Employee Master'!B121="","",'Employee Master'!K121)</f>
        <v/>
      </c>
      <c r="J124" s="213">
        <f>IF('Employee Master'!B121="","",'Employee Master'!L121)</f>
        <v/>
      </c>
      <c r="K124" s="213">
        <f>IF('Employee Master'!B121="","",'Employee Master'!T121)</f>
        <v/>
      </c>
      <c r="L124" s="213">
        <f>IF('Employee Master'!B121="","",'Employee Master'!M121)</f>
        <v/>
      </c>
      <c r="M124" s="213">
        <f>IF('Employee Master'!B121="","",'Employee Master'!N121)</f>
        <v/>
      </c>
      <c r="N124" s="213">
        <f>IF('Employee Master'!B121="","",'Employee Master'!R121)</f>
        <v/>
      </c>
      <c r="O124" s="213">
        <f>IF('Employee Master'!B121="","",'Employee Master'!S121)</f>
        <v/>
      </c>
      <c r="P124" s="213">
        <f>IF('Employee Master'!B121="","",'Employee Master'!AD121)</f>
        <v/>
      </c>
    </row>
    <row r="125" ht="15" customHeight="1" s="120">
      <c r="A125" s="213">
        <f>IF('Employee Master'!B122="","",IF(AND('Employee Master'!AD122="Y",OR('Employee Master'!C122="3:45 AM",'Employee Master'!C122="5:45 AM"),'Employee Master'!E122="N"),"Y","N"))</f>
        <v/>
      </c>
      <c r="B125" s="213">
        <f>IF('Employee Master'!B122="","",'Employee Master'!B122)</f>
        <v/>
      </c>
      <c r="C125" s="213">
        <f>IF('Employee Master'!B122="","",'Employee Master'!C122)</f>
        <v/>
      </c>
      <c r="D125" s="213">
        <f>IF('Employee Master'!B122="","",'Employee Master'!E122)</f>
        <v/>
      </c>
      <c r="E125" s="213">
        <f>IF('Employee Master'!B122="","",'Employee Master'!F122)</f>
        <v/>
      </c>
      <c r="F125" s="213">
        <f>IF('Employee Master'!B122="","",'Employee Master'!P122)</f>
        <v/>
      </c>
      <c r="G125" s="213">
        <f>IF('Employee Master'!B122="","",'Employee Master'!J122)</f>
        <v/>
      </c>
      <c r="H125" s="213">
        <f>IF('Employee Master'!B122="","",'Employee Master'!I122)</f>
        <v/>
      </c>
      <c r="I125" s="213">
        <f>IF('Employee Master'!B122="","",'Employee Master'!K122)</f>
        <v/>
      </c>
      <c r="J125" s="213">
        <f>IF('Employee Master'!B122="","",'Employee Master'!L122)</f>
        <v/>
      </c>
      <c r="K125" s="213">
        <f>IF('Employee Master'!B122="","",'Employee Master'!T122)</f>
        <v/>
      </c>
      <c r="L125" s="213">
        <f>IF('Employee Master'!B122="","",'Employee Master'!M122)</f>
        <v/>
      </c>
      <c r="M125" s="213">
        <f>IF('Employee Master'!B122="","",'Employee Master'!N122)</f>
        <v/>
      </c>
      <c r="N125" s="213">
        <f>IF('Employee Master'!B122="","",'Employee Master'!R122)</f>
        <v/>
      </c>
      <c r="O125" s="213">
        <f>IF('Employee Master'!B122="","",'Employee Master'!S122)</f>
        <v/>
      </c>
      <c r="P125" s="213">
        <f>IF('Employee Master'!B122="","",'Employee Master'!AD122)</f>
        <v/>
      </c>
    </row>
    <row r="126" ht="15" customHeight="1" s="120">
      <c r="A126" s="213">
        <f>IF('Employee Master'!B123="","",IF(AND('Employee Master'!AD123="Y",OR('Employee Master'!C123="3:45 AM",'Employee Master'!C123="5:45 AM"),'Employee Master'!E123="N"),"Y","N"))</f>
        <v/>
      </c>
      <c r="B126" s="213">
        <f>IF('Employee Master'!B123="","",'Employee Master'!B123)</f>
        <v/>
      </c>
      <c r="C126" s="213">
        <f>IF('Employee Master'!B123="","",'Employee Master'!C123)</f>
        <v/>
      </c>
      <c r="D126" s="213">
        <f>IF('Employee Master'!B123="","",'Employee Master'!E123)</f>
        <v/>
      </c>
      <c r="E126" s="213">
        <f>IF('Employee Master'!B123="","",'Employee Master'!F123)</f>
        <v/>
      </c>
      <c r="F126" s="213">
        <f>IF('Employee Master'!B123="","",'Employee Master'!P123)</f>
        <v/>
      </c>
      <c r="G126" s="213">
        <f>IF('Employee Master'!B123="","",'Employee Master'!J123)</f>
        <v/>
      </c>
      <c r="H126" s="213">
        <f>IF('Employee Master'!B123="","",'Employee Master'!I123)</f>
        <v/>
      </c>
      <c r="I126" s="213">
        <f>IF('Employee Master'!B123="","",'Employee Master'!K123)</f>
        <v/>
      </c>
      <c r="J126" s="213">
        <f>IF('Employee Master'!B123="","",'Employee Master'!L123)</f>
        <v/>
      </c>
      <c r="K126" s="213">
        <f>IF('Employee Master'!B123="","",'Employee Master'!T123)</f>
        <v/>
      </c>
      <c r="L126" s="213">
        <f>IF('Employee Master'!B123="","",'Employee Master'!M123)</f>
        <v/>
      </c>
      <c r="M126" s="213">
        <f>IF('Employee Master'!B123="","",'Employee Master'!N123)</f>
        <v/>
      </c>
      <c r="N126" s="213">
        <f>IF('Employee Master'!B123="","",'Employee Master'!R123)</f>
        <v/>
      </c>
      <c r="O126" s="213">
        <f>IF('Employee Master'!B123="","",'Employee Master'!S123)</f>
        <v/>
      </c>
      <c r="P126" s="213">
        <f>IF('Employee Master'!B123="","",'Employee Master'!AD123)</f>
        <v/>
      </c>
    </row>
    <row r="127" ht="15" customHeight="1" s="120">
      <c r="A127" s="213">
        <f>IF('Employee Master'!B124="","",IF(AND('Employee Master'!AD124="Y",OR('Employee Master'!C124="3:45 AM",'Employee Master'!C124="5:45 AM"),'Employee Master'!E124="N"),"Y","N"))</f>
        <v/>
      </c>
      <c r="B127" s="213">
        <f>IF('Employee Master'!B124="","",'Employee Master'!B124)</f>
        <v/>
      </c>
      <c r="C127" s="213">
        <f>IF('Employee Master'!B124="","",'Employee Master'!C124)</f>
        <v/>
      </c>
      <c r="D127" s="213">
        <f>IF('Employee Master'!B124="","",'Employee Master'!E124)</f>
        <v/>
      </c>
      <c r="E127" s="213">
        <f>IF('Employee Master'!B124="","",'Employee Master'!F124)</f>
        <v/>
      </c>
      <c r="F127" s="213">
        <f>IF('Employee Master'!B124="","",'Employee Master'!P124)</f>
        <v/>
      </c>
      <c r="G127" s="213">
        <f>IF('Employee Master'!B124="","",'Employee Master'!J124)</f>
        <v/>
      </c>
      <c r="H127" s="213">
        <f>IF('Employee Master'!B124="","",'Employee Master'!I124)</f>
        <v/>
      </c>
      <c r="I127" s="213">
        <f>IF('Employee Master'!B124="","",'Employee Master'!K124)</f>
        <v/>
      </c>
      <c r="J127" s="213">
        <f>IF('Employee Master'!B124="","",'Employee Master'!L124)</f>
        <v/>
      </c>
      <c r="K127" s="213">
        <f>IF('Employee Master'!B124="","",'Employee Master'!T124)</f>
        <v/>
      </c>
      <c r="L127" s="213">
        <f>IF('Employee Master'!B124="","",'Employee Master'!M124)</f>
        <v/>
      </c>
      <c r="M127" s="213">
        <f>IF('Employee Master'!B124="","",'Employee Master'!N124)</f>
        <v/>
      </c>
      <c r="N127" s="213">
        <f>IF('Employee Master'!B124="","",'Employee Master'!R124)</f>
        <v/>
      </c>
      <c r="O127" s="213">
        <f>IF('Employee Master'!B124="","",'Employee Master'!S124)</f>
        <v/>
      </c>
      <c r="P127" s="213">
        <f>IF('Employee Master'!B124="","",'Employee Master'!AD124)</f>
        <v/>
      </c>
    </row>
    <row r="128" ht="15" customHeight="1" s="120">
      <c r="A128" s="213">
        <f>IF('Employee Master'!B125="","",IF(AND('Employee Master'!AD125="Y",OR('Employee Master'!C125="3:45 AM",'Employee Master'!C125="5:45 AM"),'Employee Master'!E125="N"),"Y","N"))</f>
        <v/>
      </c>
      <c r="B128" s="213">
        <f>IF('Employee Master'!B125="","",'Employee Master'!B125)</f>
        <v/>
      </c>
      <c r="C128" s="213">
        <f>IF('Employee Master'!B125="","",'Employee Master'!C125)</f>
        <v/>
      </c>
      <c r="D128" s="213">
        <f>IF('Employee Master'!B125="","",'Employee Master'!E125)</f>
        <v/>
      </c>
      <c r="E128" s="213">
        <f>IF('Employee Master'!B125="","",'Employee Master'!F125)</f>
        <v/>
      </c>
      <c r="F128" s="213">
        <f>IF('Employee Master'!B125="","",'Employee Master'!P125)</f>
        <v/>
      </c>
      <c r="G128" s="213">
        <f>IF('Employee Master'!B125="","",'Employee Master'!J125)</f>
        <v/>
      </c>
      <c r="H128" s="213">
        <f>IF('Employee Master'!B125="","",'Employee Master'!I125)</f>
        <v/>
      </c>
      <c r="I128" s="213">
        <f>IF('Employee Master'!B125="","",'Employee Master'!K125)</f>
        <v/>
      </c>
      <c r="J128" s="213">
        <f>IF('Employee Master'!B125="","",'Employee Master'!L125)</f>
        <v/>
      </c>
      <c r="K128" s="213">
        <f>IF('Employee Master'!B125="","",'Employee Master'!T125)</f>
        <v/>
      </c>
      <c r="L128" s="213">
        <f>IF('Employee Master'!B125="","",'Employee Master'!M125)</f>
        <v/>
      </c>
      <c r="M128" s="213">
        <f>IF('Employee Master'!B125="","",'Employee Master'!N125)</f>
        <v/>
      </c>
      <c r="N128" s="213">
        <f>IF('Employee Master'!B125="","",'Employee Master'!R125)</f>
        <v/>
      </c>
      <c r="O128" s="213">
        <f>IF('Employee Master'!B125="","",'Employee Master'!S125)</f>
        <v/>
      </c>
      <c r="P128" s="213">
        <f>IF('Employee Master'!B125="","",'Employee Master'!AD125)</f>
        <v/>
      </c>
    </row>
    <row r="129" ht="15" customHeight="1" s="120">
      <c r="A129" s="213">
        <f>IF('Employee Master'!B126="","",IF(AND('Employee Master'!AD126="Y",OR('Employee Master'!C126="3:45 AM",'Employee Master'!C126="5:45 AM"),'Employee Master'!E126="N"),"Y","N"))</f>
        <v/>
      </c>
      <c r="B129" s="213">
        <f>IF('Employee Master'!B126="","",'Employee Master'!B126)</f>
        <v/>
      </c>
      <c r="C129" s="213">
        <f>IF('Employee Master'!B126="","",'Employee Master'!C126)</f>
        <v/>
      </c>
      <c r="D129" s="213">
        <f>IF('Employee Master'!B126="","",'Employee Master'!E126)</f>
        <v/>
      </c>
      <c r="E129" s="213">
        <f>IF('Employee Master'!B126="","",'Employee Master'!F126)</f>
        <v/>
      </c>
      <c r="F129" s="213">
        <f>IF('Employee Master'!B126="","",'Employee Master'!P126)</f>
        <v/>
      </c>
      <c r="G129" s="213">
        <f>IF('Employee Master'!B126="","",'Employee Master'!J126)</f>
        <v/>
      </c>
      <c r="H129" s="213">
        <f>IF('Employee Master'!B126="","",'Employee Master'!I126)</f>
        <v/>
      </c>
      <c r="I129" s="213">
        <f>IF('Employee Master'!B126="","",'Employee Master'!K126)</f>
        <v/>
      </c>
      <c r="J129" s="213">
        <f>IF('Employee Master'!B126="","",'Employee Master'!L126)</f>
        <v/>
      </c>
      <c r="K129" s="213">
        <f>IF('Employee Master'!B126="","",'Employee Master'!T126)</f>
        <v/>
      </c>
      <c r="L129" s="213">
        <f>IF('Employee Master'!B126="","",'Employee Master'!M126)</f>
        <v/>
      </c>
      <c r="M129" s="213">
        <f>IF('Employee Master'!B126="","",'Employee Master'!N126)</f>
        <v/>
      </c>
      <c r="N129" s="213">
        <f>IF('Employee Master'!B126="","",'Employee Master'!R126)</f>
        <v/>
      </c>
      <c r="O129" s="213">
        <f>IF('Employee Master'!B126="","",'Employee Master'!S126)</f>
        <v/>
      </c>
      <c r="P129" s="213">
        <f>IF('Employee Master'!B126="","",'Employee Master'!AD126)</f>
        <v/>
      </c>
    </row>
    <row r="130" ht="15" customHeight="1" s="120">
      <c r="A130" s="213">
        <f>IF('Employee Master'!B127="","",IF(AND('Employee Master'!AD127="Y",OR('Employee Master'!C127="3:45 AM",'Employee Master'!C127="5:45 AM"),'Employee Master'!E127="N"),"Y","N"))</f>
        <v/>
      </c>
      <c r="B130" s="213">
        <f>IF('Employee Master'!B127="","",'Employee Master'!B127)</f>
        <v/>
      </c>
      <c r="C130" s="213">
        <f>IF('Employee Master'!B127="","",'Employee Master'!C127)</f>
        <v/>
      </c>
      <c r="D130" s="213">
        <f>IF('Employee Master'!B127="","",'Employee Master'!E127)</f>
        <v/>
      </c>
      <c r="E130" s="213">
        <f>IF('Employee Master'!B127="","",'Employee Master'!F127)</f>
        <v/>
      </c>
      <c r="F130" s="213">
        <f>IF('Employee Master'!B127="","",'Employee Master'!P127)</f>
        <v/>
      </c>
      <c r="G130" s="213">
        <f>IF('Employee Master'!B127="","",'Employee Master'!J127)</f>
        <v/>
      </c>
      <c r="H130" s="213">
        <f>IF('Employee Master'!B127="","",'Employee Master'!I127)</f>
        <v/>
      </c>
      <c r="I130" s="213">
        <f>IF('Employee Master'!B127="","",'Employee Master'!K127)</f>
        <v/>
      </c>
      <c r="J130" s="213">
        <f>IF('Employee Master'!B127="","",'Employee Master'!L127)</f>
        <v/>
      </c>
      <c r="K130" s="213">
        <f>IF('Employee Master'!B127="","",'Employee Master'!T127)</f>
        <v/>
      </c>
      <c r="L130" s="213">
        <f>IF('Employee Master'!B127="","",'Employee Master'!M127)</f>
        <v/>
      </c>
      <c r="M130" s="213">
        <f>IF('Employee Master'!B127="","",'Employee Master'!N127)</f>
        <v/>
      </c>
      <c r="N130" s="213">
        <f>IF('Employee Master'!B127="","",'Employee Master'!R127)</f>
        <v/>
      </c>
      <c r="O130" s="213">
        <f>IF('Employee Master'!B127="","",'Employee Master'!S127)</f>
        <v/>
      </c>
      <c r="P130" s="213">
        <f>IF('Employee Master'!B127="","",'Employee Master'!AD127)</f>
        <v/>
      </c>
    </row>
    <row r="131" ht="15" customHeight="1" s="120">
      <c r="A131" s="213">
        <f>IF('Employee Master'!B128="","",IF(AND('Employee Master'!AD128="Y",OR('Employee Master'!C128="3:45 AM",'Employee Master'!C128="5:45 AM"),'Employee Master'!E128="N"),"Y","N"))</f>
        <v/>
      </c>
      <c r="B131" s="213">
        <f>IF('Employee Master'!B128="","",'Employee Master'!B128)</f>
        <v/>
      </c>
      <c r="C131" s="213">
        <f>IF('Employee Master'!B128="","",'Employee Master'!C128)</f>
        <v/>
      </c>
      <c r="D131" s="213">
        <f>IF('Employee Master'!B128="","",'Employee Master'!E128)</f>
        <v/>
      </c>
      <c r="E131" s="213">
        <f>IF('Employee Master'!B128="","",'Employee Master'!F128)</f>
        <v/>
      </c>
      <c r="F131" s="213">
        <f>IF('Employee Master'!B128="","",'Employee Master'!P128)</f>
        <v/>
      </c>
      <c r="G131" s="213">
        <f>IF('Employee Master'!B128="","",'Employee Master'!J128)</f>
        <v/>
      </c>
      <c r="H131" s="213">
        <f>IF('Employee Master'!B128="","",'Employee Master'!I128)</f>
        <v/>
      </c>
      <c r="I131" s="213">
        <f>IF('Employee Master'!B128="","",'Employee Master'!K128)</f>
        <v/>
      </c>
      <c r="J131" s="213">
        <f>IF('Employee Master'!B128="","",'Employee Master'!L128)</f>
        <v/>
      </c>
      <c r="K131" s="213">
        <f>IF('Employee Master'!B128="","",'Employee Master'!T128)</f>
        <v/>
      </c>
      <c r="L131" s="213">
        <f>IF('Employee Master'!B128="","",'Employee Master'!M128)</f>
        <v/>
      </c>
      <c r="M131" s="213">
        <f>IF('Employee Master'!B128="","",'Employee Master'!N128)</f>
        <v/>
      </c>
      <c r="N131" s="213">
        <f>IF('Employee Master'!B128="","",'Employee Master'!R128)</f>
        <v/>
      </c>
      <c r="O131" s="213">
        <f>IF('Employee Master'!B128="","",'Employee Master'!S128)</f>
        <v/>
      </c>
      <c r="P131" s="213">
        <f>IF('Employee Master'!B128="","",'Employee Master'!AD128)</f>
        <v/>
      </c>
    </row>
    <row r="132" ht="15" customHeight="1" s="120">
      <c r="A132" s="213">
        <f>IF('Employee Master'!B129="","",IF(AND('Employee Master'!AD129="Y",OR('Employee Master'!C129="3:45 AM",'Employee Master'!C129="5:45 AM"),'Employee Master'!E129="N"),"Y","N"))</f>
        <v/>
      </c>
      <c r="B132" s="213">
        <f>IF('Employee Master'!B129="","",'Employee Master'!B129)</f>
        <v/>
      </c>
      <c r="C132" s="213">
        <f>IF('Employee Master'!B129="","",'Employee Master'!C129)</f>
        <v/>
      </c>
      <c r="D132" s="213">
        <f>IF('Employee Master'!B129="","",'Employee Master'!E129)</f>
        <v/>
      </c>
      <c r="E132" s="213">
        <f>IF('Employee Master'!B129="","",'Employee Master'!F129)</f>
        <v/>
      </c>
      <c r="F132" s="213">
        <f>IF('Employee Master'!B129="","",'Employee Master'!P129)</f>
        <v/>
      </c>
      <c r="G132" s="213">
        <f>IF('Employee Master'!B129="","",'Employee Master'!J129)</f>
        <v/>
      </c>
      <c r="H132" s="213">
        <f>IF('Employee Master'!B129="","",'Employee Master'!I129)</f>
        <v/>
      </c>
      <c r="I132" s="213">
        <f>IF('Employee Master'!B129="","",'Employee Master'!K129)</f>
        <v/>
      </c>
      <c r="J132" s="213">
        <f>IF('Employee Master'!B129="","",'Employee Master'!L129)</f>
        <v/>
      </c>
      <c r="K132" s="213">
        <f>IF('Employee Master'!B129="","",'Employee Master'!T129)</f>
        <v/>
      </c>
      <c r="L132" s="213">
        <f>IF('Employee Master'!B129="","",'Employee Master'!M129)</f>
        <v/>
      </c>
      <c r="M132" s="213">
        <f>IF('Employee Master'!B129="","",'Employee Master'!N129)</f>
        <v/>
      </c>
      <c r="N132" s="213">
        <f>IF('Employee Master'!B129="","",'Employee Master'!R129)</f>
        <v/>
      </c>
      <c r="O132" s="213">
        <f>IF('Employee Master'!B129="","",'Employee Master'!S129)</f>
        <v/>
      </c>
      <c r="P132" s="213">
        <f>IF('Employee Master'!B129="","",'Employee Master'!AD129)</f>
        <v/>
      </c>
    </row>
    <row r="133" ht="15" customHeight="1" s="120">
      <c r="A133" s="213">
        <f>IF('Employee Master'!B130="","",IF(AND('Employee Master'!AD130="Y",OR('Employee Master'!C130="3:45 AM",'Employee Master'!C130="5:45 AM"),'Employee Master'!E130="N"),"Y","N"))</f>
        <v/>
      </c>
      <c r="B133" s="213">
        <f>IF('Employee Master'!B130="","",'Employee Master'!B130)</f>
        <v/>
      </c>
      <c r="C133" s="213">
        <f>IF('Employee Master'!B130="","",'Employee Master'!C130)</f>
        <v/>
      </c>
      <c r="D133" s="213">
        <f>IF('Employee Master'!B130="","",'Employee Master'!E130)</f>
        <v/>
      </c>
      <c r="E133" s="213">
        <f>IF('Employee Master'!B130="","",'Employee Master'!F130)</f>
        <v/>
      </c>
      <c r="F133" s="213">
        <f>IF('Employee Master'!B130="","",'Employee Master'!P130)</f>
        <v/>
      </c>
      <c r="G133" s="213">
        <f>IF('Employee Master'!B130="","",'Employee Master'!J130)</f>
        <v/>
      </c>
      <c r="H133" s="213">
        <f>IF('Employee Master'!B130="","",'Employee Master'!I130)</f>
        <v/>
      </c>
      <c r="I133" s="213">
        <f>IF('Employee Master'!B130="","",'Employee Master'!K130)</f>
        <v/>
      </c>
      <c r="J133" s="213">
        <f>IF('Employee Master'!B130="","",'Employee Master'!L130)</f>
        <v/>
      </c>
      <c r="K133" s="213">
        <f>IF('Employee Master'!B130="","",'Employee Master'!T130)</f>
        <v/>
      </c>
      <c r="L133" s="213">
        <f>IF('Employee Master'!B130="","",'Employee Master'!M130)</f>
        <v/>
      </c>
      <c r="M133" s="213">
        <f>IF('Employee Master'!B130="","",'Employee Master'!N130)</f>
        <v/>
      </c>
      <c r="N133" s="213">
        <f>IF('Employee Master'!B130="","",'Employee Master'!R130)</f>
        <v/>
      </c>
      <c r="O133" s="213">
        <f>IF('Employee Master'!B130="","",'Employee Master'!S130)</f>
        <v/>
      </c>
      <c r="P133" s="213">
        <f>IF('Employee Master'!B130="","",'Employee Master'!AD130)</f>
        <v/>
      </c>
    </row>
    <row r="134" ht="15" customHeight="1" s="120">
      <c r="A134" s="213">
        <f>IF('Employee Master'!B131="","",IF(AND('Employee Master'!AD131="Y",OR('Employee Master'!C131="3:45 AM",'Employee Master'!C131="5:45 AM"),'Employee Master'!E131="N"),"Y","N"))</f>
        <v/>
      </c>
      <c r="B134" s="213">
        <f>IF('Employee Master'!B131="","",'Employee Master'!B131)</f>
        <v/>
      </c>
      <c r="C134" s="213">
        <f>IF('Employee Master'!B131="","",'Employee Master'!C131)</f>
        <v/>
      </c>
      <c r="D134" s="213">
        <f>IF('Employee Master'!B131="","",'Employee Master'!E131)</f>
        <v/>
      </c>
      <c r="E134" s="213">
        <f>IF('Employee Master'!B131="","",'Employee Master'!F131)</f>
        <v/>
      </c>
      <c r="F134" s="213">
        <f>IF('Employee Master'!B131="","",'Employee Master'!P131)</f>
        <v/>
      </c>
      <c r="G134" s="213">
        <f>IF('Employee Master'!B131="","",'Employee Master'!J131)</f>
        <v/>
      </c>
      <c r="H134" s="213">
        <f>IF('Employee Master'!B131="","",'Employee Master'!I131)</f>
        <v/>
      </c>
      <c r="I134" s="213">
        <f>IF('Employee Master'!B131="","",'Employee Master'!K131)</f>
        <v/>
      </c>
      <c r="J134" s="213">
        <f>IF('Employee Master'!B131="","",'Employee Master'!L131)</f>
        <v/>
      </c>
      <c r="K134" s="213">
        <f>IF('Employee Master'!B131="","",'Employee Master'!T131)</f>
        <v/>
      </c>
      <c r="L134" s="213">
        <f>IF('Employee Master'!B131="","",'Employee Master'!M131)</f>
        <v/>
      </c>
      <c r="M134" s="213">
        <f>IF('Employee Master'!B131="","",'Employee Master'!N131)</f>
        <v/>
      </c>
      <c r="N134" s="213">
        <f>IF('Employee Master'!B131="","",'Employee Master'!R131)</f>
        <v/>
      </c>
      <c r="O134" s="213">
        <f>IF('Employee Master'!B131="","",'Employee Master'!S131)</f>
        <v/>
      </c>
      <c r="P134" s="213">
        <f>IF('Employee Master'!B131="","",'Employee Master'!AD131)</f>
        <v/>
      </c>
    </row>
    <row r="135" ht="15" customHeight="1" s="120">
      <c r="A135" s="213">
        <f>IF('Employee Master'!B132="","",IF(AND('Employee Master'!AD132="Y",OR('Employee Master'!C132="3:45 AM",'Employee Master'!C132="5:45 AM"),'Employee Master'!E132="N"),"Y","N"))</f>
        <v/>
      </c>
      <c r="B135" s="213">
        <f>IF('Employee Master'!B132="","",'Employee Master'!B132)</f>
        <v/>
      </c>
      <c r="C135" s="213">
        <f>IF('Employee Master'!B132="","",'Employee Master'!C132)</f>
        <v/>
      </c>
      <c r="D135" s="213">
        <f>IF('Employee Master'!B132="","",'Employee Master'!E132)</f>
        <v/>
      </c>
      <c r="E135" s="213">
        <f>IF('Employee Master'!B132="","",'Employee Master'!F132)</f>
        <v/>
      </c>
      <c r="F135" s="213">
        <f>IF('Employee Master'!B132="","",'Employee Master'!P132)</f>
        <v/>
      </c>
      <c r="G135" s="213">
        <f>IF('Employee Master'!B132="","",'Employee Master'!J132)</f>
        <v/>
      </c>
      <c r="H135" s="213">
        <f>IF('Employee Master'!B132="","",'Employee Master'!I132)</f>
        <v/>
      </c>
      <c r="I135" s="213">
        <f>IF('Employee Master'!B132="","",'Employee Master'!K132)</f>
        <v/>
      </c>
      <c r="J135" s="213">
        <f>IF('Employee Master'!B132="","",'Employee Master'!L132)</f>
        <v/>
      </c>
      <c r="K135" s="213">
        <f>IF('Employee Master'!B132="","",'Employee Master'!T132)</f>
        <v/>
      </c>
      <c r="L135" s="213">
        <f>IF('Employee Master'!B132="","",'Employee Master'!M132)</f>
        <v/>
      </c>
      <c r="M135" s="213">
        <f>IF('Employee Master'!B132="","",'Employee Master'!N132)</f>
        <v/>
      </c>
      <c r="N135" s="213">
        <f>IF('Employee Master'!B132="","",'Employee Master'!R132)</f>
        <v/>
      </c>
      <c r="O135" s="213">
        <f>IF('Employee Master'!B132="","",'Employee Master'!S132)</f>
        <v/>
      </c>
      <c r="P135" s="213">
        <f>IF('Employee Master'!B132="","",'Employee Master'!AD132)</f>
        <v/>
      </c>
    </row>
    <row r="136" ht="15" customHeight="1" s="120">
      <c r="A136" s="213">
        <f>IF('Employee Master'!B133="","",IF(AND('Employee Master'!AD133="Y",OR('Employee Master'!C133="3:45 AM",'Employee Master'!C133="5:45 AM"),'Employee Master'!E133="N"),"Y","N"))</f>
        <v/>
      </c>
      <c r="B136" s="213">
        <f>IF('Employee Master'!B133="","",'Employee Master'!B133)</f>
        <v/>
      </c>
      <c r="C136" s="213">
        <f>IF('Employee Master'!B133="","",'Employee Master'!C133)</f>
        <v/>
      </c>
      <c r="D136" s="213">
        <f>IF('Employee Master'!B133="","",'Employee Master'!E133)</f>
        <v/>
      </c>
      <c r="E136" s="213">
        <f>IF('Employee Master'!B133="","",'Employee Master'!F133)</f>
        <v/>
      </c>
      <c r="F136" s="213">
        <f>IF('Employee Master'!B133="","",'Employee Master'!P133)</f>
        <v/>
      </c>
      <c r="G136" s="213">
        <f>IF('Employee Master'!B133="","",'Employee Master'!J133)</f>
        <v/>
      </c>
      <c r="H136" s="213">
        <f>IF('Employee Master'!B133="","",'Employee Master'!I133)</f>
        <v/>
      </c>
      <c r="I136" s="213">
        <f>IF('Employee Master'!B133="","",'Employee Master'!K133)</f>
        <v/>
      </c>
      <c r="J136" s="213">
        <f>IF('Employee Master'!B133="","",'Employee Master'!L133)</f>
        <v/>
      </c>
      <c r="K136" s="213">
        <f>IF('Employee Master'!B133="","",'Employee Master'!T133)</f>
        <v/>
      </c>
      <c r="L136" s="213">
        <f>IF('Employee Master'!B133="","",'Employee Master'!M133)</f>
        <v/>
      </c>
      <c r="M136" s="213">
        <f>IF('Employee Master'!B133="","",'Employee Master'!N133)</f>
        <v/>
      </c>
      <c r="N136" s="213">
        <f>IF('Employee Master'!B133="","",'Employee Master'!R133)</f>
        <v/>
      </c>
      <c r="O136" s="213">
        <f>IF('Employee Master'!B133="","",'Employee Master'!S133)</f>
        <v/>
      </c>
      <c r="P136" s="213">
        <f>IF('Employee Master'!B133="","",'Employee Master'!AD133)</f>
        <v/>
      </c>
    </row>
    <row r="137" ht="15" customHeight="1" s="120">
      <c r="A137" s="213">
        <f>IF('Employee Master'!B134="","",IF(AND('Employee Master'!AD134="Y",OR('Employee Master'!C134="3:45 AM",'Employee Master'!C134="5:45 AM"),'Employee Master'!E134="N"),"Y","N"))</f>
        <v/>
      </c>
      <c r="B137" s="213">
        <f>IF('Employee Master'!B134="","",'Employee Master'!B134)</f>
        <v/>
      </c>
      <c r="C137" s="213">
        <f>IF('Employee Master'!B134="","",'Employee Master'!C134)</f>
        <v/>
      </c>
      <c r="D137" s="213">
        <f>IF('Employee Master'!B134="","",'Employee Master'!E134)</f>
        <v/>
      </c>
      <c r="E137" s="213">
        <f>IF('Employee Master'!B134="","",'Employee Master'!F134)</f>
        <v/>
      </c>
      <c r="F137" s="213">
        <f>IF('Employee Master'!B134="","",'Employee Master'!P134)</f>
        <v/>
      </c>
      <c r="G137" s="213">
        <f>IF('Employee Master'!B134="","",'Employee Master'!J134)</f>
        <v/>
      </c>
      <c r="H137" s="213">
        <f>IF('Employee Master'!B134="","",'Employee Master'!I134)</f>
        <v/>
      </c>
      <c r="I137" s="213">
        <f>IF('Employee Master'!B134="","",'Employee Master'!K134)</f>
        <v/>
      </c>
      <c r="J137" s="213">
        <f>IF('Employee Master'!B134="","",'Employee Master'!L134)</f>
        <v/>
      </c>
      <c r="K137" s="213">
        <f>IF('Employee Master'!B134="","",'Employee Master'!T134)</f>
        <v/>
      </c>
      <c r="L137" s="213">
        <f>IF('Employee Master'!B134="","",'Employee Master'!M134)</f>
        <v/>
      </c>
      <c r="M137" s="213">
        <f>IF('Employee Master'!B134="","",'Employee Master'!N134)</f>
        <v/>
      </c>
      <c r="N137" s="213">
        <f>IF('Employee Master'!B134="","",'Employee Master'!R134)</f>
        <v/>
      </c>
      <c r="O137" s="213">
        <f>IF('Employee Master'!B134="","",'Employee Master'!S134)</f>
        <v/>
      </c>
      <c r="P137" s="213">
        <f>IF('Employee Master'!B134="","",'Employee Master'!AD134)</f>
        <v/>
      </c>
    </row>
    <row r="138" ht="15" customHeight="1" s="120">
      <c r="A138" s="213">
        <f>IF('Employee Master'!B135="","",IF(AND('Employee Master'!AD135="Y",OR('Employee Master'!C135="3:45 AM",'Employee Master'!C135="5:45 AM"),'Employee Master'!E135="N"),"Y","N"))</f>
        <v/>
      </c>
      <c r="B138" s="213">
        <f>IF('Employee Master'!B135="","",'Employee Master'!B135)</f>
        <v/>
      </c>
      <c r="C138" s="213">
        <f>IF('Employee Master'!B135="","",'Employee Master'!C135)</f>
        <v/>
      </c>
      <c r="D138" s="213">
        <f>IF('Employee Master'!B135="","",'Employee Master'!E135)</f>
        <v/>
      </c>
      <c r="E138" s="213">
        <f>IF('Employee Master'!B135="","",'Employee Master'!F135)</f>
        <v/>
      </c>
      <c r="F138" s="213">
        <f>IF('Employee Master'!B135="","",'Employee Master'!P135)</f>
        <v/>
      </c>
      <c r="G138" s="213">
        <f>IF('Employee Master'!B135="","",'Employee Master'!J135)</f>
        <v/>
      </c>
      <c r="H138" s="213">
        <f>IF('Employee Master'!B135="","",'Employee Master'!I135)</f>
        <v/>
      </c>
      <c r="I138" s="213">
        <f>IF('Employee Master'!B135="","",'Employee Master'!K135)</f>
        <v/>
      </c>
      <c r="J138" s="213">
        <f>IF('Employee Master'!B135="","",'Employee Master'!L135)</f>
        <v/>
      </c>
      <c r="K138" s="213">
        <f>IF('Employee Master'!B135="","",'Employee Master'!T135)</f>
        <v/>
      </c>
      <c r="L138" s="213">
        <f>IF('Employee Master'!B135="","",'Employee Master'!M135)</f>
        <v/>
      </c>
      <c r="M138" s="213">
        <f>IF('Employee Master'!B135="","",'Employee Master'!N135)</f>
        <v/>
      </c>
      <c r="N138" s="213">
        <f>IF('Employee Master'!B135="","",'Employee Master'!R135)</f>
        <v/>
      </c>
      <c r="O138" s="213">
        <f>IF('Employee Master'!B135="","",'Employee Master'!S135)</f>
        <v/>
      </c>
      <c r="P138" s="213">
        <f>IF('Employee Master'!B135="","",'Employee Master'!AD135)</f>
        <v/>
      </c>
    </row>
    <row r="139" ht="15" customHeight="1" s="120">
      <c r="A139" s="213">
        <f>IF('Employee Master'!B136="","",IF(AND('Employee Master'!AD136="Y",OR('Employee Master'!C136="3:45 AM",'Employee Master'!C136="5:45 AM"),'Employee Master'!E136="N"),"Y","N"))</f>
        <v/>
      </c>
      <c r="B139" s="213">
        <f>IF('Employee Master'!B136="","",'Employee Master'!B136)</f>
        <v/>
      </c>
      <c r="C139" s="213">
        <f>IF('Employee Master'!B136="","",'Employee Master'!C136)</f>
        <v/>
      </c>
      <c r="D139" s="213">
        <f>IF('Employee Master'!B136="","",'Employee Master'!E136)</f>
        <v/>
      </c>
      <c r="E139" s="213">
        <f>IF('Employee Master'!B136="","",'Employee Master'!F136)</f>
        <v/>
      </c>
      <c r="F139" s="213">
        <f>IF('Employee Master'!B136="","",'Employee Master'!P136)</f>
        <v/>
      </c>
      <c r="G139" s="213">
        <f>IF('Employee Master'!B136="","",'Employee Master'!J136)</f>
        <v/>
      </c>
      <c r="H139" s="213">
        <f>IF('Employee Master'!B136="","",'Employee Master'!I136)</f>
        <v/>
      </c>
      <c r="I139" s="213">
        <f>IF('Employee Master'!B136="","",'Employee Master'!K136)</f>
        <v/>
      </c>
      <c r="J139" s="213">
        <f>IF('Employee Master'!B136="","",'Employee Master'!L136)</f>
        <v/>
      </c>
      <c r="K139" s="213">
        <f>IF('Employee Master'!B136="","",'Employee Master'!T136)</f>
        <v/>
      </c>
      <c r="L139" s="213">
        <f>IF('Employee Master'!B136="","",'Employee Master'!M136)</f>
        <v/>
      </c>
      <c r="M139" s="213">
        <f>IF('Employee Master'!B136="","",'Employee Master'!N136)</f>
        <v/>
      </c>
      <c r="N139" s="213">
        <f>IF('Employee Master'!B136="","",'Employee Master'!R136)</f>
        <v/>
      </c>
      <c r="O139" s="213">
        <f>IF('Employee Master'!B136="","",'Employee Master'!S136)</f>
        <v/>
      </c>
      <c r="P139" s="213">
        <f>IF('Employee Master'!B136="","",'Employee Master'!AD136)</f>
        <v/>
      </c>
    </row>
    <row r="140" ht="15" customHeight="1" s="120">
      <c r="A140" s="213">
        <f>IF('Employee Master'!B137="","",IF(AND('Employee Master'!AD137="Y",OR('Employee Master'!C137="3:45 AM",'Employee Master'!C137="5:45 AM"),'Employee Master'!E137="N"),"Y","N"))</f>
        <v/>
      </c>
      <c r="B140" s="213">
        <f>IF('Employee Master'!B137="","",'Employee Master'!B137)</f>
        <v/>
      </c>
      <c r="C140" s="213">
        <f>IF('Employee Master'!B137="","",'Employee Master'!C137)</f>
        <v/>
      </c>
      <c r="D140" s="213">
        <f>IF('Employee Master'!B137="","",'Employee Master'!E137)</f>
        <v/>
      </c>
      <c r="E140" s="213">
        <f>IF('Employee Master'!B137="","",'Employee Master'!F137)</f>
        <v/>
      </c>
      <c r="F140" s="213">
        <f>IF('Employee Master'!B137="","",'Employee Master'!P137)</f>
        <v/>
      </c>
      <c r="G140" s="213">
        <f>IF('Employee Master'!B137="","",'Employee Master'!J137)</f>
        <v/>
      </c>
      <c r="H140" s="213">
        <f>IF('Employee Master'!B137="","",'Employee Master'!I137)</f>
        <v/>
      </c>
      <c r="I140" s="213">
        <f>IF('Employee Master'!B137="","",'Employee Master'!K137)</f>
        <v/>
      </c>
      <c r="J140" s="213">
        <f>IF('Employee Master'!B137="","",'Employee Master'!L137)</f>
        <v/>
      </c>
      <c r="K140" s="213">
        <f>IF('Employee Master'!B137="","",'Employee Master'!T137)</f>
        <v/>
      </c>
      <c r="L140" s="213">
        <f>IF('Employee Master'!B137="","",'Employee Master'!M137)</f>
        <v/>
      </c>
      <c r="M140" s="213">
        <f>IF('Employee Master'!B137="","",'Employee Master'!N137)</f>
        <v/>
      </c>
      <c r="N140" s="213">
        <f>IF('Employee Master'!B137="","",'Employee Master'!R137)</f>
        <v/>
      </c>
      <c r="O140" s="213">
        <f>IF('Employee Master'!B137="","",'Employee Master'!S137)</f>
        <v/>
      </c>
      <c r="P140" s="213">
        <f>IF('Employee Master'!B137="","",'Employee Master'!AD137)</f>
        <v/>
      </c>
    </row>
    <row r="141" ht="15" customHeight="1" s="120">
      <c r="A141" s="213">
        <f>IF('Employee Master'!B138="","",IF(AND('Employee Master'!AD138="Y",OR('Employee Master'!C138="3:45 AM",'Employee Master'!C138="5:45 AM"),'Employee Master'!E138="N"),"Y","N"))</f>
        <v/>
      </c>
      <c r="B141" s="213">
        <f>IF('Employee Master'!B138="","",'Employee Master'!B138)</f>
        <v/>
      </c>
      <c r="C141" s="213">
        <f>IF('Employee Master'!B138="","",'Employee Master'!C138)</f>
        <v/>
      </c>
      <c r="D141" s="213">
        <f>IF('Employee Master'!B138="","",'Employee Master'!E138)</f>
        <v/>
      </c>
      <c r="E141" s="213">
        <f>IF('Employee Master'!B138="","",'Employee Master'!F138)</f>
        <v/>
      </c>
      <c r="F141" s="213">
        <f>IF('Employee Master'!B138="","",'Employee Master'!P138)</f>
        <v/>
      </c>
      <c r="G141" s="213">
        <f>IF('Employee Master'!B138="","",'Employee Master'!J138)</f>
        <v/>
      </c>
      <c r="H141" s="213">
        <f>IF('Employee Master'!B138="","",'Employee Master'!I138)</f>
        <v/>
      </c>
      <c r="I141" s="213">
        <f>IF('Employee Master'!B138="","",'Employee Master'!K138)</f>
        <v/>
      </c>
      <c r="J141" s="213">
        <f>IF('Employee Master'!B138="","",'Employee Master'!L138)</f>
        <v/>
      </c>
      <c r="K141" s="213">
        <f>IF('Employee Master'!B138="","",'Employee Master'!T138)</f>
        <v/>
      </c>
      <c r="L141" s="213">
        <f>IF('Employee Master'!B138="","",'Employee Master'!M138)</f>
        <v/>
      </c>
      <c r="M141" s="213">
        <f>IF('Employee Master'!B138="","",'Employee Master'!N138)</f>
        <v/>
      </c>
      <c r="N141" s="213">
        <f>IF('Employee Master'!B138="","",'Employee Master'!R138)</f>
        <v/>
      </c>
      <c r="O141" s="213">
        <f>IF('Employee Master'!B138="","",'Employee Master'!S138)</f>
        <v/>
      </c>
      <c r="P141" s="213">
        <f>IF('Employee Master'!B138="","",'Employee Master'!AD138)</f>
        <v/>
      </c>
    </row>
    <row r="142" ht="15" customHeight="1" s="120">
      <c r="A142" s="213">
        <f>IF('Employee Master'!B139="","",IF(AND('Employee Master'!AD139="Y",OR('Employee Master'!C139="3:45 AM",'Employee Master'!C139="5:45 AM"),'Employee Master'!E139="N"),"Y","N"))</f>
        <v/>
      </c>
      <c r="B142" s="213">
        <f>IF('Employee Master'!B139="","",'Employee Master'!B139)</f>
        <v/>
      </c>
      <c r="C142" s="213">
        <f>IF('Employee Master'!B139="","",'Employee Master'!C139)</f>
        <v/>
      </c>
      <c r="D142" s="213">
        <f>IF('Employee Master'!B139="","",'Employee Master'!E139)</f>
        <v/>
      </c>
      <c r="E142" s="213">
        <f>IF('Employee Master'!B139="","",'Employee Master'!F139)</f>
        <v/>
      </c>
      <c r="F142" s="213">
        <f>IF('Employee Master'!B139="","",'Employee Master'!P139)</f>
        <v/>
      </c>
      <c r="G142" s="213">
        <f>IF('Employee Master'!B139="","",'Employee Master'!J139)</f>
        <v/>
      </c>
      <c r="H142" s="213">
        <f>IF('Employee Master'!B139="","",'Employee Master'!I139)</f>
        <v/>
      </c>
      <c r="I142" s="213">
        <f>IF('Employee Master'!B139="","",'Employee Master'!K139)</f>
        <v/>
      </c>
      <c r="J142" s="213">
        <f>IF('Employee Master'!B139="","",'Employee Master'!L139)</f>
        <v/>
      </c>
      <c r="K142" s="213">
        <f>IF('Employee Master'!B139="","",'Employee Master'!T139)</f>
        <v/>
      </c>
      <c r="L142" s="213">
        <f>IF('Employee Master'!B139="","",'Employee Master'!M139)</f>
        <v/>
      </c>
      <c r="M142" s="213">
        <f>IF('Employee Master'!B139="","",'Employee Master'!N139)</f>
        <v/>
      </c>
      <c r="N142" s="213">
        <f>IF('Employee Master'!B139="","",'Employee Master'!R139)</f>
        <v/>
      </c>
      <c r="O142" s="213">
        <f>IF('Employee Master'!B139="","",'Employee Master'!S139)</f>
        <v/>
      </c>
      <c r="P142" s="213">
        <f>IF('Employee Master'!B139="","",'Employee Master'!AD139)</f>
        <v/>
      </c>
    </row>
    <row r="143" ht="15" customHeight="1" s="120">
      <c r="A143" s="213">
        <f>IF('Employee Master'!B140="","",IF(AND('Employee Master'!AD140="Y",OR('Employee Master'!C140="3:45 AM",'Employee Master'!C140="5:45 AM"),'Employee Master'!E140="N"),"Y","N"))</f>
        <v/>
      </c>
      <c r="B143" s="213">
        <f>IF('Employee Master'!B140="","",'Employee Master'!B140)</f>
        <v/>
      </c>
      <c r="C143" s="213">
        <f>IF('Employee Master'!B140="","",'Employee Master'!C140)</f>
        <v/>
      </c>
      <c r="D143" s="213">
        <f>IF('Employee Master'!B140="","",'Employee Master'!E140)</f>
        <v/>
      </c>
      <c r="E143" s="213">
        <f>IF('Employee Master'!B140="","",'Employee Master'!F140)</f>
        <v/>
      </c>
      <c r="F143" s="213">
        <f>IF('Employee Master'!B140="","",'Employee Master'!P140)</f>
        <v/>
      </c>
      <c r="G143" s="213">
        <f>IF('Employee Master'!B140="","",'Employee Master'!J140)</f>
        <v/>
      </c>
      <c r="H143" s="213">
        <f>IF('Employee Master'!B140="","",'Employee Master'!I140)</f>
        <v/>
      </c>
      <c r="I143" s="213">
        <f>IF('Employee Master'!B140="","",'Employee Master'!K140)</f>
        <v/>
      </c>
      <c r="J143" s="213">
        <f>IF('Employee Master'!B140="","",'Employee Master'!L140)</f>
        <v/>
      </c>
      <c r="K143" s="213">
        <f>IF('Employee Master'!B140="","",'Employee Master'!T140)</f>
        <v/>
      </c>
      <c r="L143" s="213">
        <f>IF('Employee Master'!B140="","",'Employee Master'!M140)</f>
        <v/>
      </c>
      <c r="M143" s="213">
        <f>IF('Employee Master'!B140="","",'Employee Master'!N140)</f>
        <v/>
      </c>
      <c r="N143" s="213">
        <f>IF('Employee Master'!B140="","",'Employee Master'!R140)</f>
        <v/>
      </c>
      <c r="O143" s="213">
        <f>IF('Employee Master'!B140="","",'Employee Master'!S140)</f>
        <v/>
      </c>
      <c r="P143" s="213">
        <f>IF('Employee Master'!B140="","",'Employee Master'!AD140)</f>
        <v/>
      </c>
    </row>
    <row r="144" ht="15" customHeight="1" s="120">
      <c r="A144" s="213">
        <f>IF('Employee Master'!B141="","",IF(AND('Employee Master'!AD141="Y",OR('Employee Master'!C141="3:45 AM",'Employee Master'!C141="5:45 AM"),'Employee Master'!E141="N"),"Y","N"))</f>
        <v/>
      </c>
      <c r="B144" s="213">
        <f>IF('Employee Master'!B141="","",'Employee Master'!B141)</f>
        <v/>
      </c>
      <c r="C144" s="213">
        <f>IF('Employee Master'!B141="","",'Employee Master'!C141)</f>
        <v/>
      </c>
      <c r="D144" s="213">
        <f>IF('Employee Master'!B141="","",'Employee Master'!E141)</f>
        <v/>
      </c>
      <c r="E144" s="213">
        <f>IF('Employee Master'!B141="","",'Employee Master'!F141)</f>
        <v/>
      </c>
      <c r="F144" s="213">
        <f>IF('Employee Master'!B141="","",'Employee Master'!P141)</f>
        <v/>
      </c>
      <c r="G144" s="213">
        <f>IF('Employee Master'!B141="","",'Employee Master'!J141)</f>
        <v/>
      </c>
      <c r="H144" s="213">
        <f>IF('Employee Master'!B141="","",'Employee Master'!I141)</f>
        <v/>
      </c>
      <c r="I144" s="213">
        <f>IF('Employee Master'!B141="","",'Employee Master'!K141)</f>
        <v/>
      </c>
      <c r="J144" s="213">
        <f>IF('Employee Master'!B141="","",'Employee Master'!L141)</f>
        <v/>
      </c>
      <c r="K144" s="213">
        <f>IF('Employee Master'!B141="","",'Employee Master'!T141)</f>
        <v/>
      </c>
      <c r="L144" s="213">
        <f>IF('Employee Master'!B141="","",'Employee Master'!M141)</f>
        <v/>
      </c>
      <c r="M144" s="213">
        <f>IF('Employee Master'!B141="","",'Employee Master'!N141)</f>
        <v/>
      </c>
      <c r="N144" s="213">
        <f>IF('Employee Master'!B141="","",'Employee Master'!R141)</f>
        <v/>
      </c>
      <c r="O144" s="213">
        <f>IF('Employee Master'!B141="","",'Employee Master'!S141)</f>
        <v/>
      </c>
      <c r="P144" s="213">
        <f>IF('Employee Master'!B141="","",'Employee Master'!AD141)</f>
        <v/>
      </c>
    </row>
    <row r="145" ht="15" customHeight="1" s="120">
      <c r="A145" s="213">
        <f>IF('Employee Master'!B142="","",IF(AND('Employee Master'!AD142="Y",OR('Employee Master'!C142="3:45 AM",'Employee Master'!C142="5:45 AM"),'Employee Master'!E142="N"),"Y","N"))</f>
        <v/>
      </c>
      <c r="B145" s="213">
        <f>IF('Employee Master'!B142="","",'Employee Master'!B142)</f>
        <v/>
      </c>
      <c r="C145" s="213">
        <f>IF('Employee Master'!B142="","",'Employee Master'!C142)</f>
        <v/>
      </c>
      <c r="D145" s="213">
        <f>IF('Employee Master'!B142="","",'Employee Master'!E142)</f>
        <v/>
      </c>
      <c r="E145" s="213">
        <f>IF('Employee Master'!B142="","",'Employee Master'!F142)</f>
        <v/>
      </c>
      <c r="F145" s="213">
        <f>IF('Employee Master'!B142="","",'Employee Master'!P142)</f>
        <v/>
      </c>
      <c r="G145" s="213">
        <f>IF('Employee Master'!B142="","",'Employee Master'!J142)</f>
        <v/>
      </c>
      <c r="H145" s="213">
        <f>IF('Employee Master'!B142="","",'Employee Master'!I142)</f>
        <v/>
      </c>
      <c r="I145" s="213">
        <f>IF('Employee Master'!B142="","",'Employee Master'!K142)</f>
        <v/>
      </c>
      <c r="J145" s="213">
        <f>IF('Employee Master'!B142="","",'Employee Master'!L142)</f>
        <v/>
      </c>
      <c r="K145" s="213">
        <f>IF('Employee Master'!B142="","",'Employee Master'!T142)</f>
        <v/>
      </c>
      <c r="L145" s="213">
        <f>IF('Employee Master'!B142="","",'Employee Master'!M142)</f>
        <v/>
      </c>
      <c r="M145" s="213">
        <f>IF('Employee Master'!B142="","",'Employee Master'!N142)</f>
        <v/>
      </c>
      <c r="N145" s="213">
        <f>IF('Employee Master'!B142="","",'Employee Master'!R142)</f>
        <v/>
      </c>
      <c r="O145" s="213">
        <f>IF('Employee Master'!B142="","",'Employee Master'!S142)</f>
        <v/>
      </c>
      <c r="P145" s="213">
        <f>IF('Employee Master'!B142="","",'Employee Master'!AD142)</f>
        <v/>
      </c>
    </row>
    <row r="146" ht="15" customHeight="1" s="120">
      <c r="A146" s="213">
        <f>IF('Employee Master'!B143="","",IF(AND('Employee Master'!AD143="Y",OR('Employee Master'!C143="3:45 AM",'Employee Master'!C143="5:45 AM"),'Employee Master'!E143="N"),"Y","N"))</f>
        <v/>
      </c>
      <c r="B146" s="213">
        <f>IF('Employee Master'!B143="","",'Employee Master'!B143)</f>
        <v/>
      </c>
      <c r="C146" s="213">
        <f>IF('Employee Master'!B143="","",'Employee Master'!C143)</f>
        <v/>
      </c>
      <c r="D146" s="213">
        <f>IF('Employee Master'!B143="","",'Employee Master'!E143)</f>
        <v/>
      </c>
      <c r="E146" s="213">
        <f>IF('Employee Master'!B143="","",'Employee Master'!F143)</f>
        <v/>
      </c>
      <c r="F146" s="213">
        <f>IF('Employee Master'!B143="","",'Employee Master'!P143)</f>
        <v/>
      </c>
      <c r="G146" s="213">
        <f>IF('Employee Master'!B143="","",'Employee Master'!J143)</f>
        <v/>
      </c>
      <c r="H146" s="213">
        <f>IF('Employee Master'!B143="","",'Employee Master'!I143)</f>
        <v/>
      </c>
      <c r="I146" s="213">
        <f>IF('Employee Master'!B143="","",'Employee Master'!K143)</f>
        <v/>
      </c>
      <c r="J146" s="213">
        <f>IF('Employee Master'!B143="","",'Employee Master'!L143)</f>
        <v/>
      </c>
      <c r="K146" s="213">
        <f>IF('Employee Master'!B143="","",'Employee Master'!T143)</f>
        <v/>
      </c>
      <c r="L146" s="213">
        <f>IF('Employee Master'!B143="","",'Employee Master'!M143)</f>
        <v/>
      </c>
      <c r="M146" s="213">
        <f>IF('Employee Master'!B143="","",'Employee Master'!N143)</f>
        <v/>
      </c>
      <c r="N146" s="213">
        <f>IF('Employee Master'!B143="","",'Employee Master'!R143)</f>
        <v/>
      </c>
      <c r="O146" s="213">
        <f>IF('Employee Master'!B143="","",'Employee Master'!S143)</f>
        <v/>
      </c>
      <c r="P146" s="213">
        <f>IF('Employee Master'!B143="","",'Employee Master'!AD143)</f>
        <v/>
      </c>
    </row>
    <row r="147" ht="15" customHeight="1" s="120">
      <c r="A147" s="213">
        <f>IF('Employee Master'!B144="","",IF(AND('Employee Master'!AD144="Y",OR('Employee Master'!C144="3:45 AM",'Employee Master'!C144="5:45 AM"),'Employee Master'!E144="N"),"Y","N"))</f>
        <v/>
      </c>
      <c r="B147" s="213">
        <f>IF('Employee Master'!B144="","",'Employee Master'!B144)</f>
        <v/>
      </c>
      <c r="C147" s="213">
        <f>IF('Employee Master'!B144="","",'Employee Master'!C144)</f>
        <v/>
      </c>
      <c r="D147" s="213">
        <f>IF('Employee Master'!B144="","",'Employee Master'!E144)</f>
        <v/>
      </c>
      <c r="E147" s="213">
        <f>IF('Employee Master'!B144="","",'Employee Master'!F144)</f>
        <v/>
      </c>
      <c r="F147" s="213">
        <f>IF('Employee Master'!B144="","",'Employee Master'!P144)</f>
        <v/>
      </c>
      <c r="G147" s="213">
        <f>IF('Employee Master'!B144="","",'Employee Master'!J144)</f>
        <v/>
      </c>
      <c r="H147" s="213">
        <f>IF('Employee Master'!B144="","",'Employee Master'!I144)</f>
        <v/>
      </c>
      <c r="I147" s="213">
        <f>IF('Employee Master'!B144="","",'Employee Master'!K144)</f>
        <v/>
      </c>
      <c r="J147" s="213">
        <f>IF('Employee Master'!B144="","",'Employee Master'!L144)</f>
        <v/>
      </c>
      <c r="K147" s="213">
        <f>IF('Employee Master'!B144="","",'Employee Master'!T144)</f>
        <v/>
      </c>
      <c r="L147" s="213">
        <f>IF('Employee Master'!B144="","",'Employee Master'!M144)</f>
        <v/>
      </c>
      <c r="M147" s="213">
        <f>IF('Employee Master'!B144="","",'Employee Master'!N144)</f>
        <v/>
      </c>
      <c r="N147" s="213">
        <f>IF('Employee Master'!B144="","",'Employee Master'!R144)</f>
        <v/>
      </c>
      <c r="O147" s="213">
        <f>IF('Employee Master'!B144="","",'Employee Master'!S144)</f>
        <v/>
      </c>
      <c r="P147" s="213">
        <f>IF('Employee Master'!B144="","",'Employee Master'!AD144)</f>
        <v/>
      </c>
    </row>
    <row r="148" ht="15" customHeight="1" s="120">
      <c r="A148" s="213">
        <f>IF('Employee Master'!B145="","",IF(AND('Employee Master'!AD145="Y",OR('Employee Master'!C145="3:45 AM",'Employee Master'!C145="5:45 AM"),'Employee Master'!E145="N"),"Y","N"))</f>
        <v/>
      </c>
      <c r="B148" s="213">
        <f>IF('Employee Master'!B145="","",'Employee Master'!B145)</f>
        <v/>
      </c>
      <c r="C148" s="213">
        <f>IF('Employee Master'!B145="","",'Employee Master'!C145)</f>
        <v/>
      </c>
      <c r="D148" s="213">
        <f>IF('Employee Master'!B145="","",'Employee Master'!E145)</f>
        <v/>
      </c>
      <c r="E148" s="213">
        <f>IF('Employee Master'!B145="","",'Employee Master'!F145)</f>
        <v/>
      </c>
      <c r="F148" s="213">
        <f>IF('Employee Master'!B145="","",'Employee Master'!P145)</f>
        <v/>
      </c>
      <c r="G148" s="213">
        <f>IF('Employee Master'!B145="","",'Employee Master'!J145)</f>
        <v/>
      </c>
      <c r="H148" s="213">
        <f>IF('Employee Master'!B145="","",'Employee Master'!I145)</f>
        <v/>
      </c>
      <c r="I148" s="213">
        <f>IF('Employee Master'!B145="","",'Employee Master'!K145)</f>
        <v/>
      </c>
      <c r="J148" s="213">
        <f>IF('Employee Master'!B145="","",'Employee Master'!L145)</f>
        <v/>
      </c>
      <c r="K148" s="213">
        <f>IF('Employee Master'!B145="","",'Employee Master'!T145)</f>
        <v/>
      </c>
      <c r="L148" s="213">
        <f>IF('Employee Master'!B145="","",'Employee Master'!M145)</f>
        <v/>
      </c>
      <c r="M148" s="213">
        <f>IF('Employee Master'!B145="","",'Employee Master'!N145)</f>
        <v/>
      </c>
      <c r="N148" s="213">
        <f>IF('Employee Master'!B145="","",'Employee Master'!R145)</f>
        <v/>
      </c>
      <c r="O148" s="213">
        <f>IF('Employee Master'!B145="","",'Employee Master'!S145)</f>
        <v/>
      </c>
      <c r="P148" s="213">
        <f>IF('Employee Master'!B145="","",'Employee Master'!AD145)</f>
        <v/>
      </c>
    </row>
    <row r="149" ht="15" customHeight="1" s="120">
      <c r="A149" s="213">
        <f>IF('Employee Master'!B146="","",IF(AND('Employee Master'!AD146="Y",OR('Employee Master'!C146="3:45 AM",'Employee Master'!C146="5:45 AM"),'Employee Master'!E146="N"),"Y","N"))</f>
        <v/>
      </c>
      <c r="B149" s="213">
        <f>IF('Employee Master'!B146="","",'Employee Master'!B146)</f>
        <v/>
      </c>
      <c r="C149" s="213">
        <f>IF('Employee Master'!B146="","",'Employee Master'!C146)</f>
        <v/>
      </c>
      <c r="D149" s="213">
        <f>IF('Employee Master'!B146="","",'Employee Master'!E146)</f>
        <v/>
      </c>
      <c r="E149" s="213">
        <f>IF('Employee Master'!B146="","",'Employee Master'!F146)</f>
        <v/>
      </c>
      <c r="F149" s="213">
        <f>IF('Employee Master'!B146="","",'Employee Master'!P146)</f>
        <v/>
      </c>
      <c r="G149" s="213">
        <f>IF('Employee Master'!B146="","",'Employee Master'!J146)</f>
        <v/>
      </c>
      <c r="H149" s="213">
        <f>IF('Employee Master'!B146="","",'Employee Master'!I146)</f>
        <v/>
      </c>
      <c r="I149" s="213">
        <f>IF('Employee Master'!B146="","",'Employee Master'!K146)</f>
        <v/>
      </c>
      <c r="J149" s="213">
        <f>IF('Employee Master'!B146="","",'Employee Master'!L146)</f>
        <v/>
      </c>
      <c r="K149" s="213">
        <f>IF('Employee Master'!B146="","",'Employee Master'!T146)</f>
        <v/>
      </c>
      <c r="L149" s="213">
        <f>IF('Employee Master'!B146="","",'Employee Master'!M146)</f>
        <v/>
      </c>
      <c r="M149" s="213">
        <f>IF('Employee Master'!B146="","",'Employee Master'!N146)</f>
        <v/>
      </c>
      <c r="N149" s="213">
        <f>IF('Employee Master'!B146="","",'Employee Master'!R146)</f>
        <v/>
      </c>
      <c r="O149" s="213">
        <f>IF('Employee Master'!B146="","",'Employee Master'!S146)</f>
        <v/>
      </c>
      <c r="P149" s="213">
        <f>IF('Employee Master'!B146="","",'Employee Master'!AD146)</f>
        <v/>
      </c>
    </row>
    <row r="150" ht="15" customHeight="1" s="120">
      <c r="A150" s="213">
        <f>IF('Employee Master'!B147="","",IF(AND('Employee Master'!AD147="Y",OR('Employee Master'!C147="3:45 AM",'Employee Master'!C147="5:45 AM"),'Employee Master'!E147="N"),"Y","N"))</f>
        <v/>
      </c>
      <c r="B150" s="213">
        <f>IF('Employee Master'!B147="","",'Employee Master'!B147)</f>
        <v/>
      </c>
      <c r="C150" s="213">
        <f>IF('Employee Master'!B147="","",'Employee Master'!C147)</f>
        <v/>
      </c>
      <c r="D150" s="213">
        <f>IF('Employee Master'!B147="","",'Employee Master'!E147)</f>
        <v/>
      </c>
      <c r="E150" s="213">
        <f>IF('Employee Master'!B147="","",'Employee Master'!F147)</f>
        <v/>
      </c>
      <c r="F150" s="213">
        <f>IF('Employee Master'!B147="","",'Employee Master'!P147)</f>
        <v/>
      </c>
      <c r="G150" s="213">
        <f>IF('Employee Master'!B147="","",'Employee Master'!J147)</f>
        <v/>
      </c>
      <c r="H150" s="213">
        <f>IF('Employee Master'!B147="","",'Employee Master'!I147)</f>
        <v/>
      </c>
      <c r="I150" s="213">
        <f>IF('Employee Master'!B147="","",'Employee Master'!K147)</f>
        <v/>
      </c>
      <c r="J150" s="213">
        <f>IF('Employee Master'!B147="","",'Employee Master'!L147)</f>
        <v/>
      </c>
      <c r="K150" s="213">
        <f>IF('Employee Master'!B147="","",'Employee Master'!T147)</f>
        <v/>
      </c>
      <c r="L150" s="213">
        <f>IF('Employee Master'!B147="","",'Employee Master'!M147)</f>
        <v/>
      </c>
      <c r="M150" s="213">
        <f>IF('Employee Master'!B147="","",'Employee Master'!N147)</f>
        <v/>
      </c>
      <c r="N150" s="213">
        <f>IF('Employee Master'!B147="","",'Employee Master'!R147)</f>
        <v/>
      </c>
      <c r="O150" s="213">
        <f>IF('Employee Master'!B147="","",'Employee Master'!S147)</f>
        <v/>
      </c>
      <c r="P150" s="213">
        <f>IF('Employee Master'!B147="","",'Employee Master'!AD147)</f>
        <v/>
      </c>
    </row>
    <row r="151" ht="15" customHeight="1" s="120">
      <c r="A151" s="213">
        <f>IF('Employee Master'!B148="","",IF(AND('Employee Master'!AD148="Y",OR('Employee Master'!C148="3:45 AM",'Employee Master'!C148="5:45 AM"),'Employee Master'!E148="N"),"Y","N"))</f>
        <v/>
      </c>
      <c r="B151" s="213">
        <f>IF('Employee Master'!B148="","",'Employee Master'!B148)</f>
        <v/>
      </c>
      <c r="C151" s="213">
        <f>IF('Employee Master'!B148="","",'Employee Master'!C148)</f>
        <v/>
      </c>
      <c r="D151" s="213">
        <f>IF('Employee Master'!B148="","",'Employee Master'!E148)</f>
        <v/>
      </c>
      <c r="E151" s="213">
        <f>IF('Employee Master'!B148="","",'Employee Master'!F148)</f>
        <v/>
      </c>
      <c r="F151" s="213">
        <f>IF('Employee Master'!B148="","",'Employee Master'!P148)</f>
        <v/>
      </c>
      <c r="G151" s="213">
        <f>IF('Employee Master'!B148="","",'Employee Master'!J148)</f>
        <v/>
      </c>
      <c r="H151" s="213">
        <f>IF('Employee Master'!B148="","",'Employee Master'!I148)</f>
        <v/>
      </c>
      <c r="I151" s="213">
        <f>IF('Employee Master'!B148="","",'Employee Master'!K148)</f>
        <v/>
      </c>
      <c r="J151" s="213">
        <f>IF('Employee Master'!B148="","",'Employee Master'!L148)</f>
        <v/>
      </c>
      <c r="K151" s="213">
        <f>IF('Employee Master'!B148="","",'Employee Master'!T148)</f>
        <v/>
      </c>
      <c r="L151" s="213">
        <f>IF('Employee Master'!B148="","",'Employee Master'!M148)</f>
        <v/>
      </c>
      <c r="M151" s="213">
        <f>IF('Employee Master'!B148="","",'Employee Master'!N148)</f>
        <v/>
      </c>
      <c r="N151" s="213">
        <f>IF('Employee Master'!B148="","",'Employee Master'!R148)</f>
        <v/>
      </c>
      <c r="O151" s="213">
        <f>IF('Employee Master'!B148="","",'Employee Master'!S148)</f>
        <v/>
      </c>
      <c r="P151" s="213">
        <f>IF('Employee Master'!B148="","",'Employee Master'!AD148)</f>
        <v/>
      </c>
    </row>
    <row r="152" ht="15" customHeight="1" s="120">
      <c r="A152" s="213">
        <f>IF('Employee Master'!B149="","",IF(AND('Employee Master'!AD149="Y",OR('Employee Master'!C149="3:45 AM",'Employee Master'!C149="5:45 AM"),'Employee Master'!E149="N"),"Y","N"))</f>
        <v/>
      </c>
      <c r="B152" s="213">
        <f>IF('Employee Master'!B149="","",'Employee Master'!B149)</f>
        <v/>
      </c>
      <c r="C152" s="213">
        <f>IF('Employee Master'!B149="","",'Employee Master'!C149)</f>
        <v/>
      </c>
      <c r="D152" s="213">
        <f>IF('Employee Master'!B149="","",'Employee Master'!E149)</f>
        <v/>
      </c>
      <c r="E152" s="213">
        <f>IF('Employee Master'!B149="","",'Employee Master'!F149)</f>
        <v/>
      </c>
      <c r="F152" s="213">
        <f>IF('Employee Master'!B149="","",'Employee Master'!P149)</f>
        <v/>
      </c>
      <c r="G152" s="213">
        <f>IF('Employee Master'!B149="","",'Employee Master'!J149)</f>
        <v/>
      </c>
      <c r="H152" s="213">
        <f>IF('Employee Master'!B149="","",'Employee Master'!I149)</f>
        <v/>
      </c>
      <c r="I152" s="213">
        <f>IF('Employee Master'!B149="","",'Employee Master'!K149)</f>
        <v/>
      </c>
      <c r="J152" s="213">
        <f>IF('Employee Master'!B149="","",'Employee Master'!L149)</f>
        <v/>
      </c>
      <c r="K152" s="213">
        <f>IF('Employee Master'!B149="","",'Employee Master'!T149)</f>
        <v/>
      </c>
      <c r="L152" s="213">
        <f>IF('Employee Master'!B149="","",'Employee Master'!M149)</f>
        <v/>
      </c>
      <c r="M152" s="213">
        <f>IF('Employee Master'!B149="","",'Employee Master'!N149)</f>
        <v/>
      </c>
      <c r="N152" s="213">
        <f>IF('Employee Master'!B149="","",'Employee Master'!R149)</f>
        <v/>
      </c>
      <c r="O152" s="213">
        <f>IF('Employee Master'!B149="","",'Employee Master'!S149)</f>
        <v/>
      </c>
      <c r="P152" s="213">
        <f>IF('Employee Master'!B149="","",'Employee Master'!AD149)</f>
        <v/>
      </c>
    </row>
    <row r="153" ht="15" customHeight="1" s="120">
      <c r="A153" s="213">
        <f>IF('Employee Master'!B150="","",IF(AND('Employee Master'!AD150="Y",OR('Employee Master'!C150="3:45 AM",'Employee Master'!C150="5:45 AM"),'Employee Master'!E150="N"),"Y","N"))</f>
        <v/>
      </c>
      <c r="B153" s="213">
        <f>IF('Employee Master'!B150="","",'Employee Master'!B150)</f>
        <v/>
      </c>
      <c r="C153" s="213">
        <f>IF('Employee Master'!B150="","",'Employee Master'!C150)</f>
        <v/>
      </c>
      <c r="D153" s="213">
        <f>IF('Employee Master'!B150="","",'Employee Master'!E150)</f>
        <v/>
      </c>
      <c r="E153" s="213">
        <f>IF('Employee Master'!B150="","",'Employee Master'!F150)</f>
        <v/>
      </c>
      <c r="F153" s="213">
        <f>IF('Employee Master'!B150="","",'Employee Master'!P150)</f>
        <v/>
      </c>
      <c r="G153" s="213">
        <f>IF('Employee Master'!B150="","",'Employee Master'!J150)</f>
        <v/>
      </c>
      <c r="H153" s="213">
        <f>IF('Employee Master'!B150="","",'Employee Master'!I150)</f>
        <v/>
      </c>
      <c r="I153" s="213">
        <f>IF('Employee Master'!B150="","",'Employee Master'!K150)</f>
        <v/>
      </c>
      <c r="J153" s="213">
        <f>IF('Employee Master'!B150="","",'Employee Master'!L150)</f>
        <v/>
      </c>
      <c r="K153" s="213">
        <f>IF('Employee Master'!B150="","",'Employee Master'!T150)</f>
        <v/>
      </c>
      <c r="L153" s="213">
        <f>IF('Employee Master'!B150="","",'Employee Master'!M150)</f>
        <v/>
      </c>
      <c r="M153" s="213">
        <f>IF('Employee Master'!B150="","",'Employee Master'!N150)</f>
        <v/>
      </c>
      <c r="N153" s="213">
        <f>IF('Employee Master'!B150="","",'Employee Master'!R150)</f>
        <v/>
      </c>
      <c r="O153" s="213">
        <f>IF('Employee Master'!B150="","",'Employee Master'!S150)</f>
        <v/>
      </c>
      <c r="P153" s="213">
        <f>IF('Employee Master'!B150="","",'Employee Master'!AD150)</f>
        <v/>
      </c>
    </row>
    <row r="154" ht="15" customHeight="1" s="120">
      <c r="A154" s="213">
        <f>IF('Employee Master'!B151="","",IF(AND('Employee Master'!AD151="Y",OR('Employee Master'!C151="3:45 AM",'Employee Master'!C151="5:45 AM"),'Employee Master'!E151="N"),"Y","N"))</f>
        <v/>
      </c>
      <c r="B154" s="213">
        <f>IF('Employee Master'!B151="","",'Employee Master'!B151)</f>
        <v/>
      </c>
      <c r="C154" s="213">
        <f>IF('Employee Master'!B151="","",'Employee Master'!C151)</f>
        <v/>
      </c>
      <c r="D154" s="213">
        <f>IF('Employee Master'!B151="","",'Employee Master'!E151)</f>
        <v/>
      </c>
      <c r="E154" s="213">
        <f>IF('Employee Master'!B151="","",'Employee Master'!F151)</f>
        <v/>
      </c>
      <c r="F154" s="213">
        <f>IF('Employee Master'!B151="","",'Employee Master'!P151)</f>
        <v/>
      </c>
      <c r="G154" s="213">
        <f>IF('Employee Master'!B151="","",'Employee Master'!J151)</f>
        <v/>
      </c>
      <c r="H154" s="213">
        <f>IF('Employee Master'!B151="","",'Employee Master'!I151)</f>
        <v/>
      </c>
      <c r="I154" s="213">
        <f>IF('Employee Master'!B151="","",'Employee Master'!K151)</f>
        <v/>
      </c>
      <c r="J154" s="213">
        <f>IF('Employee Master'!B151="","",'Employee Master'!L151)</f>
        <v/>
      </c>
      <c r="K154" s="213">
        <f>IF('Employee Master'!B151="","",'Employee Master'!T151)</f>
        <v/>
      </c>
      <c r="L154" s="213">
        <f>IF('Employee Master'!B151="","",'Employee Master'!M151)</f>
        <v/>
      </c>
      <c r="M154" s="213">
        <f>IF('Employee Master'!B151="","",'Employee Master'!N151)</f>
        <v/>
      </c>
      <c r="N154" s="213">
        <f>IF('Employee Master'!B151="","",'Employee Master'!R151)</f>
        <v/>
      </c>
      <c r="O154" s="213">
        <f>IF('Employee Master'!B151="","",'Employee Master'!S151)</f>
        <v/>
      </c>
      <c r="P154" s="213">
        <f>IF('Employee Master'!B151="","",'Employee Master'!AD151)</f>
        <v/>
      </c>
    </row>
    <row r="155" ht="15" customHeight="1" s="120">
      <c r="A155" s="213">
        <f>IF('Employee Master'!B152="","",IF(AND('Employee Master'!AD152="Y",OR('Employee Master'!C152="3:45 AM",'Employee Master'!C152="5:45 AM"),'Employee Master'!E152="N"),"Y","N"))</f>
        <v/>
      </c>
      <c r="B155" s="213">
        <f>IF('Employee Master'!B152="","",'Employee Master'!B152)</f>
        <v/>
      </c>
      <c r="C155" s="213">
        <f>IF('Employee Master'!B152="","",'Employee Master'!C152)</f>
        <v/>
      </c>
      <c r="D155" s="213">
        <f>IF('Employee Master'!B152="","",'Employee Master'!E152)</f>
        <v/>
      </c>
      <c r="E155" s="213">
        <f>IF('Employee Master'!B152="","",'Employee Master'!F152)</f>
        <v/>
      </c>
      <c r="F155" s="213">
        <f>IF('Employee Master'!B152="","",'Employee Master'!P152)</f>
        <v/>
      </c>
      <c r="G155" s="213">
        <f>IF('Employee Master'!B152="","",'Employee Master'!J152)</f>
        <v/>
      </c>
      <c r="H155" s="213">
        <f>IF('Employee Master'!B152="","",'Employee Master'!I152)</f>
        <v/>
      </c>
      <c r="I155" s="213">
        <f>IF('Employee Master'!B152="","",'Employee Master'!K152)</f>
        <v/>
      </c>
      <c r="J155" s="213">
        <f>IF('Employee Master'!B152="","",'Employee Master'!L152)</f>
        <v/>
      </c>
      <c r="K155" s="213">
        <f>IF('Employee Master'!B152="","",'Employee Master'!T152)</f>
        <v/>
      </c>
      <c r="L155" s="213">
        <f>IF('Employee Master'!B152="","",'Employee Master'!M152)</f>
        <v/>
      </c>
      <c r="M155" s="213">
        <f>IF('Employee Master'!B152="","",'Employee Master'!N152)</f>
        <v/>
      </c>
      <c r="N155" s="213">
        <f>IF('Employee Master'!B152="","",'Employee Master'!R152)</f>
        <v/>
      </c>
      <c r="O155" s="213">
        <f>IF('Employee Master'!B152="","",'Employee Master'!S152)</f>
        <v/>
      </c>
      <c r="P155" s="213">
        <f>IF('Employee Master'!B152="","",'Employee Master'!AD152)</f>
        <v/>
      </c>
    </row>
    <row r="156" ht="15" customHeight="1" s="120">
      <c r="A156" s="213">
        <f>IF('Employee Master'!B153="","",IF(AND('Employee Master'!AD153="Y",OR('Employee Master'!C153="3:45 AM",'Employee Master'!C153="5:45 AM"),'Employee Master'!E153="N"),"Y","N"))</f>
        <v/>
      </c>
      <c r="B156" s="213">
        <f>IF('Employee Master'!B153="","",'Employee Master'!B153)</f>
        <v/>
      </c>
      <c r="C156" s="213">
        <f>IF('Employee Master'!B153="","",'Employee Master'!C153)</f>
        <v/>
      </c>
      <c r="D156" s="213">
        <f>IF('Employee Master'!B153="","",'Employee Master'!E153)</f>
        <v/>
      </c>
      <c r="E156" s="213">
        <f>IF('Employee Master'!B153="","",'Employee Master'!F153)</f>
        <v/>
      </c>
      <c r="F156" s="213">
        <f>IF('Employee Master'!B153="","",'Employee Master'!P153)</f>
        <v/>
      </c>
      <c r="G156" s="213">
        <f>IF('Employee Master'!B153="","",'Employee Master'!J153)</f>
        <v/>
      </c>
      <c r="H156" s="213">
        <f>IF('Employee Master'!B153="","",'Employee Master'!I153)</f>
        <v/>
      </c>
      <c r="I156" s="213">
        <f>IF('Employee Master'!B153="","",'Employee Master'!K153)</f>
        <v/>
      </c>
      <c r="J156" s="213">
        <f>IF('Employee Master'!B153="","",'Employee Master'!L153)</f>
        <v/>
      </c>
      <c r="K156" s="213">
        <f>IF('Employee Master'!B153="","",'Employee Master'!T153)</f>
        <v/>
      </c>
      <c r="L156" s="213">
        <f>IF('Employee Master'!B153="","",'Employee Master'!M153)</f>
        <v/>
      </c>
      <c r="M156" s="213">
        <f>IF('Employee Master'!B153="","",'Employee Master'!N153)</f>
        <v/>
      </c>
      <c r="N156" s="213">
        <f>IF('Employee Master'!B153="","",'Employee Master'!R153)</f>
        <v/>
      </c>
      <c r="O156" s="213">
        <f>IF('Employee Master'!B153="","",'Employee Master'!S153)</f>
        <v/>
      </c>
      <c r="P156" s="213">
        <f>IF('Employee Master'!B153="","",'Employee Master'!AD153)</f>
        <v/>
      </c>
    </row>
    <row r="157" ht="15" customHeight="1" s="120">
      <c r="A157" s="213">
        <f>IF('Employee Master'!B154="","",IF(AND('Employee Master'!AD154="Y",OR('Employee Master'!C154="3:45 AM",'Employee Master'!C154="5:45 AM"),'Employee Master'!E154="N"),"Y","N"))</f>
        <v/>
      </c>
      <c r="B157" s="213">
        <f>IF('Employee Master'!B154="","",'Employee Master'!B154)</f>
        <v/>
      </c>
      <c r="C157" s="213">
        <f>IF('Employee Master'!B154="","",'Employee Master'!C154)</f>
        <v/>
      </c>
      <c r="D157" s="213">
        <f>IF('Employee Master'!B154="","",'Employee Master'!E154)</f>
        <v/>
      </c>
      <c r="E157" s="213">
        <f>IF('Employee Master'!B154="","",'Employee Master'!F154)</f>
        <v/>
      </c>
      <c r="F157" s="213">
        <f>IF('Employee Master'!B154="","",'Employee Master'!P154)</f>
        <v/>
      </c>
      <c r="G157" s="213">
        <f>IF('Employee Master'!B154="","",'Employee Master'!J154)</f>
        <v/>
      </c>
      <c r="H157" s="213">
        <f>IF('Employee Master'!B154="","",'Employee Master'!I154)</f>
        <v/>
      </c>
      <c r="I157" s="213">
        <f>IF('Employee Master'!B154="","",'Employee Master'!K154)</f>
        <v/>
      </c>
      <c r="J157" s="213">
        <f>IF('Employee Master'!B154="","",'Employee Master'!L154)</f>
        <v/>
      </c>
      <c r="K157" s="213">
        <f>IF('Employee Master'!B154="","",'Employee Master'!T154)</f>
        <v/>
      </c>
      <c r="L157" s="213">
        <f>IF('Employee Master'!B154="","",'Employee Master'!M154)</f>
        <v/>
      </c>
      <c r="M157" s="213">
        <f>IF('Employee Master'!B154="","",'Employee Master'!N154)</f>
        <v/>
      </c>
      <c r="N157" s="213">
        <f>IF('Employee Master'!B154="","",'Employee Master'!R154)</f>
        <v/>
      </c>
      <c r="O157" s="213">
        <f>IF('Employee Master'!B154="","",'Employee Master'!S154)</f>
        <v/>
      </c>
      <c r="P157" s="213">
        <f>IF('Employee Master'!B154="","",'Employee Master'!AD154)</f>
        <v/>
      </c>
    </row>
    <row r="158" ht="15" customHeight="1" s="120">
      <c r="A158" s="213">
        <f>IF('Employee Master'!B155="","",IF(AND('Employee Master'!AD155="Y",OR('Employee Master'!C155="3:45 AM",'Employee Master'!C155="5:45 AM"),'Employee Master'!E155="N"),"Y","N"))</f>
        <v/>
      </c>
      <c r="B158" s="213">
        <f>IF('Employee Master'!B155="","",'Employee Master'!B155)</f>
        <v/>
      </c>
      <c r="C158" s="213">
        <f>IF('Employee Master'!B155="","",'Employee Master'!C155)</f>
        <v/>
      </c>
      <c r="D158" s="213">
        <f>IF('Employee Master'!B155="","",'Employee Master'!E155)</f>
        <v/>
      </c>
      <c r="E158" s="213">
        <f>IF('Employee Master'!B155="","",'Employee Master'!F155)</f>
        <v/>
      </c>
      <c r="F158" s="213">
        <f>IF('Employee Master'!B155="","",'Employee Master'!P155)</f>
        <v/>
      </c>
      <c r="G158" s="213">
        <f>IF('Employee Master'!B155="","",'Employee Master'!J155)</f>
        <v/>
      </c>
      <c r="H158" s="213">
        <f>IF('Employee Master'!B155="","",'Employee Master'!I155)</f>
        <v/>
      </c>
      <c r="I158" s="213">
        <f>IF('Employee Master'!B155="","",'Employee Master'!K155)</f>
        <v/>
      </c>
      <c r="J158" s="213">
        <f>IF('Employee Master'!B155="","",'Employee Master'!L155)</f>
        <v/>
      </c>
      <c r="K158" s="213">
        <f>IF('Employee Master'!B155="","",'Employee Master'!T155)</f>
        <v/>
      </c>
      <c r="L158" s="213">
        <f>IF('Employee Master'!B155="","",'Employee Master'!M155)</f>
        <v/>
      </c>
      <c r="M158" s="213">
        <f>IF('Employee Master'!B155="","",'Employee Master'!N155)</f>
        <v/>
      </c>
      <c r="N158" s="213">
        <f>IF('Employee Master'!B155="","",'Employee Master'!R155)</f>
        <v/>
      </c>
      <c r="O158" s="213">
        <f>IF('Employee Master'!B155="","",'Employee Master'!S155)</f>
        <v/>
      </c>
      <c r="P158" s="213">
        <f>IF('Employee Master'!B155="","",'Employee Master'!AD155)</f>
        <v/>
      </c>
    </row>
    <row r="159" ht="15" customHeight="1" s="120">
      <c r="A159" s="213">
        <f>IF('Employee Master'!B156="","",IF(AND('Employee Master'!AD156="Y",OR('Employee Master'!C156="3:45 AM",'Employee Master'!C156="5:45 AM"),'Employee Master'!E156="N"),"Y","N"))</f>
        <v/>
      </c>
      <c r="B159" s="213">
        <f>IF('Employee Master'!B156="","",'Employee Master'!B156)</f>
        <v/>
      </c>
      <c r="C159" s="213">
        <f>IF('Employee Master'!B156="","",'Employee Master'!C156)</f>
        <v/>
      </c>
      <c r="D159" s="213">
        <f>IF('Employee Master'!B156="","",'Employee Master'!E156)</f>
        <v/>
      </c>
      <c r="E159" s="213">
        <f>IF('Employee Master'!B156="","",'Employee Master'!F156)</f>
        <v/>
      </c>
      <c r="F159" s="213">
        <f>IF('Employee Master'!B156="","",'Employee Master'!P156)</f>
        <v/>
      </c>
      <c r="G159" s="213">
        <f>IF('Employee Master'!B156="","",'Employee Master'!J156)</f>
        <v/>
      </c>
      <c r="H159" s="213">
        <f>IF('Employee Master'!B156="","",'Employee Master'!I156)</f>
        <v/>
      </c>
      <c r="I159" s="213">
        <f>IF('Employee Master'!B156="","",'Employee Master'!K156)</f>
        <v/>
      </c>
      <c r="J159" s="213">
        <f>IF('Employee Master'!B156="","",'Employee Master'!L156)</f>
        <v/>
      </c>
      <c r="K159" s="213">
        <f>IF('Employee Master'!B156="","",'Employee Master'!T156)</f>
        <v/>
      </c>
      <c r="L159" s="213">
        <f>IF('Employee Master'!B156="","",'Employee Master'!M156)</f>
        <v/>
      </c>
      <c r="M159" s="213">
        <f>IF('Employee Master'!B156="","",'Employee Master'!N156)</f>
        <v/>
      </c>
      <c r="N159" s="213">
        <f>IF('Employee Master'!B156="","",'Employee Master'!R156)</f>
        <v/>
      </c>
      <c r="O159" s="213">
        <f>IF('Employee Master'!B156="","",'Employee Master'!S156)</f>
        <v/>
      </c>
      <c r="P159" s="213">
        <f>IF('Employee Master'!B156="","",'Employee Master'!AD156)</f>
        <v/>
      </c>
    </row>
    <row r="160" ht="15" customHeight="1" s="120">
      <c r="A160" s="213">
        <f>IF('Employee Master'!B157="","",IF(AND('Employee Master'!AD157="Y",OR('Employee Master'!C157="3:45 AM",'Employee Master'!C157="5:45 AM"),'Employee Master'!E157="N"),"Y","N"))</f>
        <v/>
      </c>
      <c r="B160" s="213">
        <f>IF('Employee Master'!B157="","",'Employee Master'!B157)</f>
        <v/>
      </c>
      <c r="C160" s="213">
        <f>IF('Employee Master'!B157="","",'Employee Master'!C157)</f>
        <v/>
      </c>
      <c r="D160" s="213">
        <f>IF('Employee Master'!B157="","",'Employee Master'!E157)</f>
        <v/>
      </c>
      <c r="E160" s="213">
        <f>IF('Employee Master'!B157="","",'Employee Master'!F157)</f>
        <v/>
      </c>
      <c r="F160" s="213">
        <f>IF('Employee Master'!B157="","",'Employee Master'!P157)</f>
        <v/>
      </c>
      <c r="G160" s="213">
        <f>IF('Employee Master'!B157="","",'Employee Master'!J157)</f>
        <v/>
      </c>
      <c r="H160" s="213">
        <f>IF('Employee Master'!B157="","",'Employee Master'!I157)</f>
        <v/>
      </c>
      <c r="I160" s="213">
        <f>IF('Employee Master'!B157="","",'Employee Master'!K157)</f>
        <v/>
      </c>
      <c r="J160" s="213">
        <f>IF('Employee Master'!B157="","",'Employee Master'!L157)</f>
        <v/>
      </c>
      <c r="K160" s="213">
        <f>IF('Employee Master'!B157="","",'Employee Master'!T157)</f>
        <v/>
      </c>
      <c r="L160" s="213">
        <f>IF('Employee Master'!B157="","",'Employee Master'!M157)</f>
        <v/>
      </c>
      <c r="M160" s="213">
        <f>IF('Employee Master'!B157="","",'Employee Master'!N157)</f>
        <v/>
      </c>
      <c r="N160" s="213">
        <f>IF('Employee Master'!B157="","",'Employee Master'!R157)</f>
        <v/>
      </c>
      <c r="O160" s="213">
        <f>IF('Employee Master'!B157="","",'Employee Master'!S157)</f>
        <v/>
      </c>
      <c r="P160" s="213">
        <f>IF('Employee Master'!B157="","",'Employee Master'!AD157)</f>
        <v/>
      </c>
    </row>
    <row r="161" ht="15" customHeight="1" s="120">
      <c r="A161" s="213">
        <f>IF('Employee Master'!B158="","",IF(AND('Employee Master'!AD158="Y",OR('Employee Master'!C158="3:45 AM",'Employee Master'!C158="5:45 AM"),'Employee Master'!E158="N"),"Y","N"))</f>
        <v/>
      </c>
      <c r="B161" s="213">
        <f>IF('Employee Master'!B158="","",'Employee Master'!B158)</f>
        <v/>
      </c>
      <c r="C161" s="213">
        <f>IF('Employee Master'!B158="","",'Employee Master'!C158)</f>
        <v/>
      </c>
      <c r="D161" s="213">
        <f>IF('Employee Master'!B158="","",'Employee Master'!E158)</f>
        <v/>
      </c>
      <c r="E161" s="213">
        <f>IF('Employee Master'!B158="","",'Employee Master'!F158)</f>
        <v/>
      </c>
      <c r="F161" s="213">
        <f>IF('Employee Master'!B158="","",'Employee Master'!P158)</f>
        <v/>
      </c>
      <c r="G161" s="213">
        <f>IF('Employee Master'!B158="","",'Employee Master'!J158)</f>
        <v/>
      </c>
      <c r="H161" s="213">
        <f>IF('Employee Master'!B158="","",'Employee Master'!I158)</f>
        <v/>
      </c>
      <c r="I161" s="213">
        <f>IF('Employee Master'!B158="","",'Employee Master'!K158)</f>
        <v/>
      </c>
      <c r="J161" s="213">
        <f>IF('Employee Master'!B158="","",'Employee Master'!L158)</f>
        <v/>
      </c>
      <c r="K161" s="213">
        <f>IF('Employee Master'!B158="","",'Employee Master'!T158)</f>
        <v/>
      </c>
      <c r="L161" s="213">
        <f>IF('Employee Master'!B158="","",'Employee Master'!M158)</f>
        <v/>
      </c>
      <c r="M161" s="213">
        <f>IF('Employee Master'!B158="","",'Employee Master'!N158)</f>
        <v/>
      </c>
      <c r="N161" s="213">
        <f>IF('Employee Master'!B158="","",'Employee Master'!R158)</f>
        <v/>
      </c>
      <c r="O161" s="213">
        <f>IF('Employee Master'!B158="","",'Employee Master'!S158)</f>
        <v/>
      </c>
      <c r="P161" s="213">
        <f>IF('Employee Master'!B158="","",'Employee Master'!AD158)</f>
        <v/>
      </c>
    </row>
    <row r="162" ht="15" customHeight="1" s="120">
      <c r="A162" s="213">
        <f>IF('Employee Master'!B159="","",IF(AND('Employee Master'!AD159="Y",OR('Employee Master'!C159="3:45 AM",'Employee Master'!C159="5:45 AM"),'Employee Master'!E159="N"),"Y","N"))</f>
        <v/>
      </c>
      <c r="B162" s="213">
        <f>IF('Employee Master'!B159="","",'Employee Master'!B159)</f>
        <v/>
      </c>
      <c r="C162" s="213">
        <f>IF('Employee Master'!B159="","",'Employee Master'!C159)</f>
        <v/>
      </c>
      <c r="D162" s="213">
        <f>IF('Employee Master'!B159="","",'Employee Master'!E159)</f>
        <v/>
      </c>
      <c r="E162" s="213">
        <f>IF('Employee Master'!B159="","",'Employee Master'!F159)</f>
        <v/>
      </c>
      <c r="F162" s="213">
        <f>IF('Employee Master'!B159="","",'Employee Master'!P159)</f>
        <v/>
      </c>
      <c r="G162" s="213">
        <f>IF('Employee Master'!B159="","",'Employee Master'!J159)</f>
        <v/>
      </c>
      <c r="H162" s="213">
        <f>IF('Employee Master'!B159="","",'Employee Master'!I159)</f>
        <v/>
      </c>
      <c r="I162" s="213">
        <f>IF('Employee Master'!B159="","",'Employee Master'!K159)</f>
        <v/>
      </c>
      <c r="J162" s="213">
        <f>IF('Employee Master'!B159="","",'Employee Master'!L159)</f>
        <v/>
      </c>
      <c r="K162" s="213">
        <f>IF('Employee Master'!B159="","",'Employee Master'!T159)</f>
        <v/>
      </c>
      <c r="L162" s="213">
        <f>IF('Employee Master'!B159="","",'Employee Master'!M159)</f>
        <v/>
      </c>
      <c r="M162" s="213">
        <f>IF('Employee Master'!B159="","",'Employee Master'!N159)</f>
        <v/>
      </c>
      <c r="N162" s="213">
        <f>IF('Employee Master'!B159="","",'Employee Master'!R159)</f>
        <v/>
      </c>
      <c r="O162" s="213">
        <f>IF('Employee Master'!B159="","",'Employee Master'!S159)</f>
        <v/>
      </c>
      <c r="P162" s="213">
        <f>IF('Employee Master'!B159="","",'Employee Master'!AD159)</f>
        <v/>
      </c>
    </row>
    <row r="163" ht="15" customHeight="1" s="120">
      <c r="A163" s="213">
        <f>IF('Employee Master'!B160="","",IF(AND('Employee Master'!AD160="Y",OR('Employee Master'!C160="3:45 AM",'Employee Master'!C160="5:45 AM"),'Employee Master'!E160="N"),"Y","N"))</f>
        <v/>
      </c>
      <c r="B163" s="213">
        <f>IF('Employee Master'!B160="","",'Employee Master'!B160)</f>
        <v/>
      </c>
      <c r="C163" s="213">
        <f>IF('Employee Master'!B160="","",'Employee Master'!C160)</f>
        <v/>
      </c>
      <c r="D163" s="213">
        <f>IF('Employee Master'!B160="","",'Employee Master'!E160)</f>
        <v/>
      </c>
      <c r="E163" s="213">
        <f>IF('Employee Master'!B160="","",'Employee Master'!F160)</f>
        <v/>
      </c>
      <c r="F163" s="213">
        <f>IF('Employee Master'!B160="","",'Employee Master'!P160)</f>
        <v/>
      </c>
      <c r="G163" s="213">
        <f>IF('Employee Master'!B160="","",'Employee Master'!J160)</f>
        <v/>
      </c>
      <c r="H163" s="213">
        <f>IF('Employee Master'!B160="","",'Employee Master'!I160)</f>
        <v/>
      </c>
      <c r="I163" s="213">
        <f>IF('Employee Master'!B160="","",'Employee Master'!K160)</f>
        <v/>
      </c>
      <c r="J163" s="213">
        <f>IF('Employee Master'!B160="","",'Employee Master'!L160)</f>
        <v/>
      </c>
      <c r="K163" s="213">
        <f>IF('Employee Master'!B160="","",'Employee Master'!T160)</f>
        <v/>
      </c>
      <c r="L163" s="213">
        <f>IF('Employee Master'!B160="","",'Employee Master'!M160)</f>
        <v/>
      </c>
      <c r="M163" s="213">
        <f>IF('Employee Master'!B160="","",'Employee Master'!N160)</f>
        <v/>
      </c>
      <c r="N163" s="213">
        <f>IF('Employee Master'!B160="","",'Employee Master'!R160)</f>
        <v/>
      </c>
      <c r="O163" s="213">
        <f>IF('Employee Master'!B160="","",'Employee Master'!S160)</f>
        <v/>
      </c>
      <c r="P163" s="213">
        <f>IF('Employee Master'!B160="","",'Employee Master'!AD160)</f>
        <v/>
      </c>
    </row>
  </sheetData>
  <autoFilter ref="A4:P163"/>
  <mergeCells count="2">
    <mergeCell ref="A1:P1"/>
    <mergeCell ref="A2:P2"/>
  </mergeCells>
  <conditionalFormatting sqref="A5:A163">
    <cfRule type="cellIs" rank="0" priority="2" equalAverage="0" operator="equal" aboveAverage="0" dxfId="4" text="" percent="0" bottom="0">
      <formula>"Y"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Q16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4" min="1" max="1"/>
    <col width="18" customWidth="1" style="134" min="2" max="2"/>
    <col width="10" customWidth="1" style="134" min="3" max="3"/>
    <col width="6" customWidth="1" style="134" min="4" max="4"/>
    <col width="8" customWidth="1" style="134" min="5" max="5"/>
    <col width="10" customWidth="1" style="134" min="6" max="8"/>
    <col width="8" customWidth="1" style="134" min="9" max="10"/>
    <col width="12" customWidth="1" style="134" min="11" max="11"/>
    <col width="14" customWidth="1" style="134" min="12" max="12"/>
    <col width="18" customWidth="1" style="134" min="13" max="13"/>
    <col width="14" customWidth="1" style="134" min="14" max="14"/>
    <col width="12" customWidth="1" style="134" min="15" max="15"/>
  </cols>
  <sheetData>
    <row r="1" ht="15" customHeight="1" s="120">
      <c r="A1" s="177" t="inlineStr">
        <is>
          <t>PM AVAILABLE POOL</t>
        </is>
      </c>
    </row>
    <row r="2" ht="15" customHeight="1" s="120">
      <c r="A2" s="202" t="inlineStr">
        <is>
          <t>Filter column A (PM Eligible?) = Y. Names update when Schedule Date changes (Ctrl+Alt+F5). Lead=N, Available Today, shift 12:15 or 2:00.</t>
        </is>
      </c>
    </row>
    <row r="4" ht="18.75" customHeight="1" s="120">
      <c r="A4" s="214" t="inlineStr">
        <is>
          <t>PM Eligible?</t>
        </is>
      </c>
      <c r="B4" s="214" t="inlineStr">
        <is>
          <t>Employee Name</t>
        </is>
      </c>
      <c r="C4" s="214" t="inlineStr">
        <is>
          <t>Shift</t>
        </is>
      </c>
      <c r="D4" s="214" t="inlineStr">
        <is>
          <t>Lead</t>
        </is>
      </c>
      <c r="E4" s="214" t="inlineStr">
        <is>
          <t>Mentor</t>
        </is>
      </c>
      <c r="F4" s="214" t="inlineStr">
        <is>
          <t>Trainee Y/N</t>
        </is>
      </c>
      <c r="G4" s="214" t="inlineStr">
        <is>
          <t>Main Inside</t>
        </is>
      </c>
      <c r="H4" s="214" t="inlineStr">
        <is>
          <t>Info Desk</t>
        </is>
      </c>
      <c r="I4" s="214" t="inlineStr">
        <is>
          <t>Survey</t>
        </is>
      </c>
      <c r="J4" s="214" t="inlineStr">
        <is>
          <t>Divest</t>
        </is>
      </c>
      <c r="K4" s="214" t="inlineStr">
        <is>
          <t>Mobility Restrict</t>
        </is>
      </c>
      <c r="L4" s="214" t="inlineStr">
        <is>
          <t>Assignment Rule</t>
        </is>
      </c>
      <c r="M4" s="214" t="inlineStr">
        <is>
          <t>Fixed Position</t>
        </is>
      </c>
      <c r="N4" s="214" t="inlineStr">
        <is>
          <t>Lunch Preference</t>
        </is>
      </c>
      <c r="O4" s="214" t="inlineStr">
        <is>
          <t>Available Today?</t>
        </is>
      </c>
      <c r="P4" s="214" t="inlineStr">
        <is>
          <t>Eligible Count:</t>
        </is>
      </c>
      <c r="Q4" s="167">
        <f>COUNTIF(A5:A169,"Y")</f>
        <v/>
      </c>
    </row>
    <row r="5" ht="15" customHeight="1" s="120">
      <c r="A5" s="134">
        <f>IF('Employee Master'!B2="","",IF(AND('Employee Master'!AD2="Y",OR('Employee Master'!C2="12:15 PM",'Employee Master'!C2="2:00 PM"),'Employee Master'!E2="N"),"Y","N"))</f>
        <v/>
      </c>
      <c r="B5" s="134">
        <f>IF('Employee Master'!B2="","",'Employee Master'!B2)</f>
        <v/>
      </c>
      <c r="C5" s="134">
        <f>IF('Employee Master'!B2="","",'Employee Master'!C2)</f>
        <v/>
      </c>
      <c r="D5" s="134">
        <f>IF('Employee Master'!B2="","",'Employee Master'!E2)</f>
        <v/>
      </c>
      <c r="E5" s="134">
        <f>IF('Employee Master'!B2="","",'Employee Master'!F2)</f>
        <v/>
      </c>
      <c r="F5" s="134">
        <f>IF('Employee Master'!B2="","",'Employee Master'!P2)</f>
        <v/>
      </c>
      <c r="G5" s="134">
        <f>IF('Employee Master'!B2="","",'Employee Master'!J2)</f>
        <v/>
      </c>
      <c r="H5" s="134">
        <f>IF('Employee Master'!B2="","",'Employee Master'!I2)</f>
        <v/>
      </c>
      <c r="I5" s="134">
        <f>IF('Employee Master'!B2="","",'Employee Master'!K2)</f>
        <v/>
      </c>
      <c r="J5" s="134">
        <f>IF('Employee Master'!B2="","",'Employee Master'!L2)</f>
        <v/>
      </c>
      <c r="K5" s="134">
        <f>IF('Employee Master'!B2="","",'Employee Master'!T2)</f>
        <v/>
      </c>
      <c r="L5" s="134">
        <f>IF('Employee Master'!B2="","",'Employee Master'!M2)</f>
        <v/>
      </c>
      <c r="M5" s="134">
        <f>IF('Employee Master'!B2="","",'Employee Master'!N2)</f>
        <v/>
      </c>
      <c r="N5" s="134">
        <f>IF('Employee Master'!B2="","",'Employee Master'!H2)</f>
        <v/>
      </c>
      <c r="O5" s="134">
        <f>IF('Employee Master'!B2="","",'Employee Master'!AD2)</f>
        <v/>
      </c>
    </row>
    <row r="6" ht="15" customHeight="1" s="120">
      <c r="A6" s="134">
        <f>IF('Employee Master'!B3="","",IF(AND('Employee Master'!AD3="Y",OR('Employee Master'!C3="12:15 PM",'Employee Master'!C3="2:00 PM"),'Employee Master'!E3="N"),"Y","N"))</f>
        <v/>
      </c>
      <c r="B6" s="134">
        <f>IF('Employee Master'!B3="","",'Employee Master'!B3)</f>
        <v/>
      </c>
      <c r="C6" s="134">
        <f>IF('Employee Master'!B3="","",'Employee Master'!C3)</f>
        <v/>
      </c>
      <c r="D6" s="134">
        <f>IF('Employee Master'!B3="","",'Employee Master'!E3)</f>
        <v/>
      </c>
      <c r="E6" s="134">
        <f>IF('Employee Master'!B3="","",'Employee Master'!F3)</f>
        <v/>
      </c>
      <c r="F6" s="134">
        <f>IF('Employee Master'!B3="","",'Employee Master'!P3)</f>
        <v/>
      </c>
      <c r="G6" s="134">
        <f>IF('Employee Master'!B3="","",'Employee Master'!J3)</f>
        <v/>
      </c>
      <c r="H6" s="134">
        <f>IF('Employee Master'!B3="","",'Employee Master'!I3)</f>
        <v/>
      </c>
      <c r="I6" s="134">
        <f>IF('Employee Master'!B3="","",'Employee Master'!K3)</f>
        <v/>
      </c>
      <c r="J6" s="134">
        <f>IF('Employee Master'!B3="","",'Employee Master'!L3)</f>
        <v/>
      </c>
      <c r="K6" s="134">
        <f>IF('Employee Master'!B3="","",'Employee Master'!T3)</f>
        <v/>
      </c>
      <c r="L6" s="134">
        <f>IF('Employee Master'!B3="","",'Employee Master'!M3)</f>
        <v/>
      </c>
      <c r="M6" s="134">
        <f>IF('Employee Master'!B3="","",'Employee Master'!N3)</f>
        <v/>
      </c>
      <c r="N6" s="134">
        <f>IF('Employee Master'!B3="","",'Employee Master'!H3)</f>
        <v/>
      </c>
      <c r="O6" s="134">
        <f>IF('Employee Master'!B3="","",'Employee Master'!AD3)</f>
        <v/>
      </c>
    </row>
    <row r="7" ht="15" customHeight="1" s="120">
      <c r="A7" s="134">
        <f>IF('Employee Master'!B4="","",IF(AND('Employee Master'!AD4="Y",OR('Employee Master'!C4="12:15 PM",'Employee Master'!C4="2:00 PM"),'Employee Master'!E4="N"),"Y","N"))</f>
        <v/>
      </c>
      <c r="B7" s="134">
        <f>IF('Employee Master'!B4="","",'Employee Master'!B4)</f>
        <v/>
      </c>
      <c r="C7" s="134">
        <f>IF('Employee Master'!B4="","",'Employee Master'!C4)</f>
        <v/>
      </c>
      <c r="D7" s="134">
        <f>IF('Employee Master'!B4="","",'Employee Master'!E4)</f>
        <v/>
      </c>
      <c r="E7" s="134">
        <f>IF('Employee Master'!B4="","",'Employee Master'!F4)</f>
        <v/>
      </c>
      <c r="F7" s="134">
        <f>IF('Employee Master'!B4="","",'Employee Master'!P4)</f>
        <v/>
      </c>
      <c r="G7" s="134">
        <f>IF('Employee Master'!B4="","",'Employee Master'!J4)</f>
        <v/>
      </c>
      <c r="H7" s="134">
        <f>IF('Employee Master'!B4="","",'Employee Master'!I4)</f>
        <v/>
      </c>
      <c r="I7" s="134">
        <f>IF('Employee Master'!B4="","",'Employee Master'!K4)</f>
        <v/>
      </c>
      <c r="J7" s="134">
        <f>IF('Employee Master'!B4="","",'Employee Master'!L4)</f>
        <v/>
      </c>
      <c r="K7" s="134">
        <f>IF('Employee Master'!B4="","",'Employee Master'!T4)</f>
        <v/>
      </c>
      <c r="L7" s="134">
        <f>IF('Employee Master'!B4="","",'Employee Master'!M4)</f>
        <v/>
      </c>
      <c r="M7" s="134">
        <f>IF('Employee Master'!B4="","",'Employee Master'!N4)</f>
        <v/>
      </c>
      <c r="N7" s="134">
        <f>IF('Employee Master'!B4="","",'Employee Master'!H4)</f>
        <v/>
      </c>
      <c r="O7" s="134">
        <f>IF('Employee Master'!B4="","",'Employee Master'!AD4)</f>
        <v/>
      </c>
    </row>
    <row r="8" ht="15" customHeight="1" s="120">
      <c r="A8" s="134">
        <f>IF('Employee Master'!B5="","",IF(AND('Employee Master'!AD5="Y",OR('Employee Master'!C5="12:15 PM",'Employee Master'!C5="2:00 PM"),'Employee Master'!E5="N"),"Y","N"))</f>
        <v/>
      </c>
      <c r="B8" s="134">
        <f>IF('Employee Master'!B5="","",'Employee Master'!B5)</f>
        <v/>
      </c>
      <c r="C8" s="134">
        <f>IF('Employee Master'!B5="","",'Employee Master'!C5)</f>
        <v/>
      </c>
      <c r="D8" s="134">
        <f>IF('Employee Master'!B5="","",'Employee Master'!E5)</f>
        <v/>
      </c>
      <c r="E8" s="134">
        <f>IF('Employee Master'!B5="","",'Employee Master'!F5)</f>
        <v/>
      </c>
      <c r="F8" s="134">
        <f>IF('Employee Master'!B5="","",'Employee Master'!P5)</f>
        <v/>
      </c>
      <c r="G8" s="134">
        <f>IF('Employee Master'!B5="","",'Employee Master'!J5)</f>
        <v/>
      </c>
      <c r="H8" s="134">
        <f>IF('Employee Master'!B5="","",'Employee Master'!I5)</f>
        <v/>
      </c>
      <c r="I8" s="134">
        <f>IF('Employee Master'!B5="","",'Employee Master'!K5)</f>
        <v/>
      </c>
      <c r="J8" s="134">
        <f>IF('Employee Master'!B5="","",'Employee Master'!L5)</f>
        <v/>
      </c>
      <c r="K8" s="134">
        <f>IF('Employee Master'!B5="","",'Employee Master'!T5)</f>
        <v/>
      </c>
      <c r="L8" s="134">
        <f>IF('Employee Master'!B5="","",'Employee Master'!M5)</f>
        <v/>
      </c>
      <c r="M8" s="134">
        <f>IF('Employee Master'!B5="","",'Employee Master'!N5)</f>
        <v/>
      </c>
      <c r="N8" s="134">
        <f>IF('Employee Master'!B5="","",'Employee Master'!H5)</f>
        <v/>
      </c>
      <c r="O8" s="134">
        <f>IF('Employee Master'!B5="","",'Employee Master'!AD5)</f>
        <v/>
      </c>
    </row>
    <row r="9" ht="15" customHeight="1" s="120">
      <c r="A9" s="134">
        <f>IF('Employee Master'!B6="","",IF(AND('Employee Master'!AD6="Y",OR('Employee Master'!C6="12:15 PM",'Employee Master'!C6="2:00 PM"),'Employee Master'!E6="N"),"Y","N"))</f>
        <v/>
      </c>
      <c r="B9" s="134">
        <f>IF('Employee Master'!B6="","",'Employee Master'!B6)</f>
        <v/>
      </c>
      <c r="C9" s="134">
        <f>IF('Employee Master'!B6="","",'Employee Master'!C6)</f>
        <v/>
      </c>
      <c r="D9" s="134">
        <f>IF('Employee Master'!B6="","",'Employee Master'!E6)</f>
        <v/>
      </c>
      <c r="E9" s="134">
        <f>IF('Employee Master'!B6="","",'Employee Master'!F6)</f>
        <v/>
      </c>
      <c r="F9" s="134">
        <f>IF('Employee Master'!B6="","",'Employee Master'!P6)</f>
        <v/>
      </c>
      <c r="G9" s="134">
        <f>IF('Employee Master'!B6="","",'Employee Master'!J6)</f>
        <v/>
      </c>
      <c r="H9" s="134">
        <f>IF('Employee Master'!B6="","",'Employee Master'!I6)</f>
        <v/>
      </c>
      <c r="I9" s="134">
        <f>IF('Employee Master'!B6="","",'Employee Master'!K6)</f>
        <v/>
      </c>
      <c r="J9" s="134">
        <f>IF('Employee Master'!B6="","",'Employee Master'!L6)</f>
        <v/>
      </c>
      <c r="K9" s="134">
        <f>IF('Employee Master'!B6="","",'Employee Master'!T6)</f>
        <v/>
      </c>
      <c r="L9" s="134">
        <f>IF('Employee Master'!B6="","",'Employee Master'!M6)</f>
        <v/>
      </c>
      <c r="M9" s="134">
        <f>IF('Employee Master'!B6="","",'Employee Master'!N6)</f>
        <v/>
      </c>
      <c r="N9" s="134">
        <f>IF('Employee Master'!B6="","",'Employee Master'!H6)</f>
        <v/>
      </c>
      <c r="O9" s="134">
        <f>IF('Employee Master'!B6="","",'Employee Master'!AD6)</f>
        <v/>
      </c>
    </row>
    <row r="10" ht="15" customHeight="1" s="120">
      <c r="A10" s="134">
        <f>IF('Employee Master'!B7="","",IF(AND('Employee Master'!AD7="Y",OR('Employee Master'!C7="12:15 PM",'Employee Master'!C7="2:00 PM"),'Employee Master'!E7="N"),"Y","N"))</f>
        <v/>
      </c>
      <c r="B10" s="134">
        <f>IF('Employee Master'!B7="","",'Employee Master'!B7)</f>
        <v/>
      </c>
      <c r="C10" s="134">
        <f>IF('Employee Master'!B7="","",'Employee Master'!C7)</f>
        <v/>
      </c>
      <c r="D10" s="134">
        <f>IF('Employee Master'!B7="","",'Employee Master'!E7)</f>
        <v/>
      </c>
      <c r="E10" s="134">
        <f>IF('Employee Master'!B7="","",'Employee Master'!F7)</f>
        <v/>
      </c>
      <c r="F10" s="134">
        <f>IF('Employee Master'!B7="","",'Employee Master'!P7)</f>
        <v/>
      </c>
      <c r="G10" s="134">
        <f>IF('Employee Master'!B7="","",'Employee Master'!J7)</f>
        <v/>
      </c>
      <c r="H10" s="134">
        <f>IF('Employee Master'!B7="","",'Employee Master'!I7)</f>
        <v/>
      </c>
      <c r="I10" s="134">
        <f>IF('Employee Master'!B7="","",'Employee Master'!K7)</f>
        <v/>
      </c>
      <c r="J10" s="134">
        <f>IF('Employee Master'!B7="","",'Employee Master'!L7)</f>
        <v/>
      </c>
      <c r="K10" s="134">
        <f>IF('Employee Master'!B7="","",'Employee Master'!T7)</f>
        <v/>
      </c>
      <c r="L10" s="134">
        <f>IF('Employee Master'!B7="","",'Employee Master'!M7)</f>
        <v/>
      </c>
      <c r="M10" s="134">
        <f>IF('Employee Master'!B7="","",'Employee Master'!N7)</f>
        <v/>
      </c>
      <c r="N10" s="134">
        <f>IF('Employee Master'!B7="","",'Employee Master'!H7)</f>
        <v/>
      </c>
      <c r="O10" s="134">
        <f>IF('Employee Master'!B7="","",'Employee Master'!AD7)</f>
        <v/>
      </c>
    </row>
    <row r="11" ht="15" customHeight="1" s="120">
      <c r="A11" s="134">
        <f>IF('Employee Master'!B8="","",IF(AND('Employee Master'!AD8="Y",OR('Employee Master'!C8="12:15 PM",'Employee Master'!C8="2:00 PM"),'Employee Master'!E8="N"),"Y","N"))</f>
        <v/>
      </c>
      <c r="B11" s="134">
        <f>IF('Employee Master'!B8="","",'Employee Master'!B8)</f>
        <v/>
      </c>
      <c r="C11" s="134">
        <f>IF('Employee Master'!B8="","",'Employee Master'!C8)</f>
        <v/>
      </c>
      <c r="D11" s="134">
        <f>IF('Employee Master'!B8="","",'Employee Master'!E8)</f>
        <v/>
      </c>
      <c r="E11" s="134">
        <f>IF('Employee Master'!B8="","",'Employee Master'!F8)</f>
        <v/>
      </c>
      <c r="F11" s="134">
        <f>IF('Employee Master'!B8="","",'Employee Master'!P8)</f>
        <v/>
      </c>
      <c r="G11" s="134">
        <f>IF('Employee Master'!B8="","",'Employee Master'!J8)</f>
        <v/>
      </c>
      <c r="H11" s="134">
        <f>IF('Employee Master'!B8="","",'Employee Master'!I8)</f>
        <v/>
      </c>
      <c r="I11" s="134">
        <f>IF('Employee Master'!B8="","",'Employee Master'!K8)</f>
        <v/>
      </c>
      <c r="J11" s="134">
        <f>IF('Employee Master'!B8="","",'Employee Master'!L8)</f>
        <v/>
      </c>
      <c r="K11" s="134">
        <f>IF('Employee Master'!B8="","",'Employee Master'!T8)</f>
        <v/>
      </c>
      <c r="L11" s="134">
        <f>IF('Employee Master'!B8="","",'Employee Master'!M8)</f>
        <v/>
      </c>
      <c r="M11" s="134">
        <f>IF('Employee Master'!B8="","",'Employee Master'!N8)</f>
        <v/>
      </c>
      <c r="N11" s="134">
        <f>IF('Employee Master'!B8="","",'Employee Master'!H8)</f>
        <v/>
      </c>
      <c r="O11" s="134">
        <f>IF('Employee Master'!B8="","",'Employee Master'!AD8)</f>
        <v/>
      </c>
    </row>
    <row r="12" ht="15" customHeight="1" s="120">
      <c r="A12" s="134">
        <f>IF('Employee Master'!B9="","",IF(AND('Employee Master'!AD9="Y",OR('Employee Master'!C9="12:15 PM",'Employee Master'!C9="2:00 PM"),'Employee Master'!E9="N"),"Y","N"))</f>
        <v/>
      </c>
      <c r="B12" s="134">
        <f>IF('Employee Master'!B9="","",'Employee Master'!B9)</f>
        <v/>
      </c>
      <c r="C12" s="134">
        <f>IF('Employee Master'!B9="","",'Employee Master'!C9)</f>
        <v/>
      </c>
      <c r="D12" s="134">
        <f>IF('Employee Master'!B9="","",'Employee Master'!E9)</f>
        <v/>
      </c>
      <c r="E12" s="134">
        <f>IF('Employee Master'!B9="","",'Employee Master'!F9)</f>
        <v/>
      </c>
      <c r="F12" s="134">
        <f>IF('Employee Master'!B9="","",'Employee Master'!P9)</f>
        <v/>
      </c>
      <c r="G12" s="134">
        <f>IF('Employee Master'!B9="","",'Employee Master'!J9)</f>
        <v/>
      </c>
      <c r="H12" s="134">
        <f>IF('Employee Master'!B9="","",'Employee Master'!I9)</f>
        <v/>
      </c>
      <c r="I12" s="134">
        <f>IF('Employee Master'!B9="","",'Employee Master'!K9)</f>
        <v/>
      </c>
      <c r="J12" s="134">
        <f>IF('Employee Master'!B9="","",'Employee Master'!L9)</f>
        <v/>
      </c>
      <c r="K12" s="134">
        <f>IF('Employee Master'!B9="","",'Employee Master'!T9)</f>
        <v/>
      </c>
      <c r="L12" s="134">
        <f>IF('Employee Master'!B9="","",'Employee Master'!M9)</f>
        <v/>
      </c>
      <c r="M12" s="134">
        <f>IF('Employee Master'!B9="","",'Employee Master'!N9)</f>
        <v/>
      </c>
      <c r="N12" s="134">
        <f>IF('Employee Master'!B9="","",'Employee Master'!H9)</f>
        <v/>
      </c>
      <c r="O12" s="134">
        <f>IF('Employee Master'!B9="","",'Employee Master'!AD9)</f>
        <v/>
      </c>
    </row>
    <row r="13" ht="15" customHeight="1" s="120">
      <c r="A13" s="134">
        <f>IF('Employee Master'!B10="","",IF(AND('Employee Master'!AD10="Y",OR('Employee Master'!C10="12:15 PM",'Employee Master'!C10="2:00 PM"),'Employee Master'!E10="N"),"Y","N"))</f>
        <v/>
      </c>
      <c r="B13" s="134">
        <f>IF('Employee Master'!B10="","",'Employee Master'!B10)</f>
        <v/>
      </c>
      <c r="C13" s="134">
        <f>IF('Employee Master'!B10="","",'Employee Master'!C10)</f>
        <v/>
      </c>
      <c r="D13" s="134">
        <f>IF('Employee Master'!B10="","",'Employee Master'!E10)</f>
        <v/>
      </c>
      <c r="E13" s="134">
        <f>IF('Employee Master'!B10="","",'Employee Master'!F10)</f>
        <v/>
      </c>
      <c r="F13" s="134">
        <f>IF('Employee Master'!B10="","",'Employee Master'!P10)</f>
        <v/>
      </c>
      <c r="G13" s="134">
        <f>IF('Employee Master'!B10="","",'Employee Master'!J10)</f>
        <v/>
      </c>
      <c r="H13" s="134">
        <f>IF('Employee Master'!B10="","",'Employee Master'!I10)</f>
        <v/>
      </c>
      <c r="I13" s="134">
        <f>IF('Employee Master'!B10="","",'Employee Master'!K10)</f>
        <v/>
      </c>
      <c r="J13" s="134">
        <f>IF('Employee Master'!B10="","",'Employee Master'!L10)</f>
        <v/>
      </c>
      <c r="K13" s="134">
        <f>IF('Employee Master'!B10="","",'Employee Master'!T10)</f>
        <v/>
      </c>
      <c r="L13" s="134">
        <f>IF('Employee Master'!B10="","",'Employee Master'!M10)</f>
        <v/>
      </c>
      <c r="M13" s="134">
        <f>IF('Employee Master'!B10="","",'Employee Master'!N10)</f>
        <v/>
      </c>
      <c r="N13" s="134">
        <f>IF('Employee Master'!B10="","",'Employee Master'!H10)</f>
        <v/>
      </c>
      <c r="O13" s="134">
        <f>IF('Employee Master'!B10="","",'Employee Master'!AD10)</f>
        <v/>
      </c>
    </row>
    <row r="14" ht="15" customHeight="1" s="120">
      <c r="A14" s="134">
        <f>IF('Employee Master'!B11="","",IF(AND('Employee Master'!AD11="Y",OR('Employee Master'!C11="12:15 PM",'Employee Master'!C11="2:00 PM"),'Employee Master'!E11="N"),"Y","N"))</f>
        <v/>
      </c>
      <c r="B14" s="134">
        <f>IF('Employee Master'!B11="","",'Employee Master'!B11)</f>
        <v/>
      </c>
      <c r="C14" s="134">
        <f>IF('Employee Master'!B11="","",'Employee Master'!C11)</f>
        <v/>
      </c>
      <c r="D14" s="134">
        <f>IF('Employee Master'!B11="","",'Employee Master'!E11)</f>
        <v/>
      </c>
      <c r="E14" s="134">
        <f>IF('Employee Master'!B11="","",'Employee Master'!F11)</f>
        <v/>
      </c>
      <c r="F14" s="134">
        <f>IF('Employee Master'!B11="","",'Employee Master'!P11)</f>
        <v/>
      </c>
      <c r="G14" s="134">
        <f>IF('Employee Master'!B11="","",'Employee Master'!J11)</f>
        <v/>
      </c>
      <c r="H14" s="134">
        <f>IF('Employee Master'!B11="","",'Employee Master'!I11)</f>
        <v/>
      </c>
      <c r="I14" s="134">
        <f>IF('Employee Master'!B11="","",'Employee Master'!K11)</f>
        <v/>
      </c>
      <c r="J14" s="134">
        <f>IF('Employee Master'!B11="","",'Employee Master'!L11)</f>
        <v/>
      </c>
      <c r="K14" s="134">
        <f>IF('Employee Master'!B11="","",'Employee Master'!T11)</f>
        <v/>
      </c>
      <c r="L14" s="134">
        <f>IF('Employee Master'!B11="","",'Employee Master'!M11)</f>
        <v/>
      </c>
      <c r="M14" s="134">
        <f>IF('Employee Master'!B11="","",'Employee Master'!N11)</f>
        <v/>
      </c>
      <c r="N14" s="134">
        <f>IF('Employee Master'!B11="","",'Employee Master'!H11)</f>
        <v/>
      </c>
      <c r="O14" s="134">
        <f>IF('Employee Master'!B11="","",'Employee Master'!AD11)</f>
        <v/>
      </c>
    </row>
    <row r="15" ht="15" customHeight="1" s="120">
      <c r="A15" s="134">
        <f>IF('Employee Master'!B12="","",IF(AND('Employee Master'!AD12="Y",OR('Employee Master'!C12="12:15 PM",'Employee Master'!C12="2:00 PM"),'Employee Master'!E12="N"),"Y","N"))</f>
        <v/>
      </c>
      <c r="B15" s="134">
        <f>IF('Employee Master'!B12="","",'Employee Master'!B12)</f>
        <v/>
      </c>
      <c r="C15" s="134">
        <f>IF('Employee Master'!B12="","",'Employee Master'!C12)</f>
        <v/>
      </c>
      <c r="D15" s="134">
        <f>IF('Employee Master'!B12="","",'Employee Master'!E12)</f>
        <v/>
      </c>
      <c r="E15" s="134">
        <f>IF('Employee Master'!B12="","",'Employee Master'!F12)</f>
        <v/>
      </c>
      <c r="F15" s="134">
        <f>IF('Employee Master'!B12="","",'Employee Master'!P12)</f>
        <v/>
      </c>
      <c r="G15" s="134">
        <f>IF('Employee Master'!B12="","",'Employee Master'!J12)</f>
        <v/>
      </c>
      <c r="H15" s="134">
        <f>IF('Employee Master'!B12="","",'Employee Master'!I12)</f>
        <v/>
      </c>
      <c r="I15" s="134">
        <f>IF('Employee Master'!B12="","",'Employee Master'!K12)</f>
        <v/>
      </c>
      <c r="J15" s="134">
        <f>IF('Employee Master'!B12="","",'Employee Master'!L12)</f>
        <v/>
      </c>
      <c r="K15" s="134">
        <f>IF('Employee Master'!B12="","",'Employee Master'!T12)</f>
        <v/>
      </c>
      <c r="L15" s="134">
        <f>IF('Employee Master'!B12="","",'Employee Master'!M12)</f>
        <v/>
      </c>
      <c r="M15" s="134">
        <f>IF('Employee Master'!B12="","",'Employee Master'!N12)</f>
        <v/>
      </c>
      <c r="N15" s="134">
        <f>IF('Employee Master'!B12="","",'Employee Master'!H12)</f>
        <v/>
      </c>
      <c r="O15" s="134">
        <f>IF('Employee Master'!B12="","",'Employee Master'!AD12)</f>
        <v/>
      </c>
    </row>
    <row r="16" ht="15" customHeight="1" s="120">
      <c r="A16" s="134">
        <f>IF('Employee Master'!B13="","",IF(AND('Employee Master'!AD13="Y",OR('Employee Master'!C13="12:15 PM",'Employee Master'!C13="2:00 PM"),'Employee Master'!E13="N"),"Y","N"))</f>
        <v/>
      </c>
      <c r="B16" s="134">
        <f>IF('Employee Master'!B13="","",'Employee Master'!B13)</f>
        <v/>
      </c>
      <c r="C16" s="134">
        <f>IF('Employee Master'!B13="","",'Employee Master'!C13)</f>
        <v/>
      </c>
      <c r="D16" s="134">
        <f>IF('Employee Master'!B13="","",'Employee Master'!E13)</f>
        <v/>
      </c>
      <c r="E16" s="134">
        <f>IF('Employee Master'!B13="","",'Employee Master'!F13)</f>
        <v/>
      </c>
      <c r="F16" s="134">
        <f>IF('Employee Master'!B13="","",'Employee Master'!P13)</f>
        <v/>
      </c>
      <c r="G16" s="134">
        <f>IF('Employee Master'!B13="","",'Employee Master'!J13)</f>
        <v/>
      </c>
      <c r="H16" s="134">
        <f>IF('Employee Master'!B13="","",'Employee Master'!I13)</f>
        <v/>
      </c>
      <c r="I16" s="134">
        <f>IF('Employee Master'!B13="","",'Employee Master'!K13)</f>
        <v/>
      </c>
      <c r="J16" s="134">
        <f>IF('Employee Master'!B13="","",'Employee Master'!L13)</f>
        <v/>
      </c>
      <c r="K16" s="134">
        <f>IF('Employee Master'!B13="","",'Employee Master'!T13)</f>
        <v/>
      </c>
      <c r="L16" s="134">
        <f>IF('Employee Master'!B13="","",'Employee Master'!M13)</f>
        <v/>
      </c>
      <c r="M16" s="134">
        <f>IF('Employee Master'!B13="","",'Employee Master'!N13)</f>
        <v/>
      </c>
      <c r="N16" s="134">
        <f>IF('Employee Master'!B13="","",'Employee Master'!H13)</f>
        <v/>
      </c>
      <c r="O16" s="134">
        <f>IF('Employee Master'!B13="","",'Employee Master'!AD13)</f>
        <v/>
      </c>
    </row>
    <row r="17" ht="15" customHeight="1" s="120">
      <c r="A17" s="134">
        <f>IF('Employee Master'!B14="","",IF(AND('Employee Master'!AD14="Y",OR('Employee Master'!C14="12:15 PM",'Employee Master'!C14="2:00 PM"),'Employee Master'!E14="N"),"Y","N"))</f>
        <v/>
      </c>
      <c r="B17" s="134">
        <f>IF('Employee Master'!B14="","",'Employee Master'!B14)</f>
        <v/>
      </c>
      <c r="C17" s="134">
        <f>IF('Employee Master'!B14="","",'Employee Master'!C14)</f>
        <v/>
      </c>
      <c r="D17" s="134">
        <f>IF('Employee Master'!B14="","",'Employee Master'!E14)</f>
        <v/>
      </c>
      <c r="E17" s="134">
        <f>IF('Employee Master'!B14="","",'Employee Master'!F14)</f>
        <v/>
      </c>
      <c r="F17" s="134">
        <f>IF('Employee Master'!B14="","",'Employee Master'!P14)</f>
        <v/>
      </c>
      <c r="G17" s="134">
        <f>IF('Employee Master'!B14="","",'Employee Master'!J14)</f>
        <v/>
      </c>
      <c r="H17" s="134">
        <f>IF('Employee Master'!B14="","",'Employee Master'!I14)</f>
        <v/>
      </c>
      <c r="I17" s="134">
        <f>IF('Employee Master'!B14="","",'Employee Master'!K14)</f>
        <v/>
      </c>
      <c r="J17" s="134">
        <f>IF('Employee Master'!B14="","",'Employee Master'!L14)</f>
        <v/>
      </c>
      <c r="K17" s="134">
        <f>IF('Employee Master'!B14="","",'Employee Master'!T14)</f>
        <v/>
      </c>
      <c r="L17" s="134">
        <f>IF('Employee Master'!B14="","",'Employee Master'!M14)</f>
        <v/>
      </c>
      <c r="M17" s="134">
        <f>IF('Employee Master'!B14="","",'Employee Master'!N14)</f>
        <v/>
      </c>
      <c r="N17" s="134">
        <f>IF('Employee Master'!B14="","",'Employee Master'!H14)</f>
        <v/>
      </c>
      <c r="O17" s="134">
        <f>IF('Employee Master'!B14="","",'Employee Master'!AD14)</f>
        <v/>
      </c>
    </row>
    <row r="18" ht="15" customHeight="1" s="120">
      <c r="A18" s="134">
        <f>IF('Employee Master'!B15="","",IF(AND('Employee Master'!AD15="Y",OR('Employee Master'!C15="12:15 PM",'Employee Master'!C15="2:00 PM"),'Employee Master'!E15="N"),"Y","N"))</f>
        <v/>
      </c>
      <c r="B18" s="134">
        <f>IF('Employee Master'!B15="","",'Employee Master'!B15)</f>
        <v/>
      </c>
      <c r="C18" s="134">
        <f>IF('Employee Master'!B15="","",'Employee Master'!C15)</f>
        <v/>
      </c>
      <c r="D18" s="134">
        <f>IF('Employee Master'!B15="","",'Employee Master'!E15)</f>
        <v/>
      </c>
      <c r="E18" s="134">
        <f>IF('Employee Master'!B15="","",'Employee Master'!F15)</f>
        <v/>
      </c>
      <c r="F18" s="134">
        <f>IF('Employee Master'!B15="","",'Employee Master'!P15)</f>
        <v/>
      </c>
      <c r="G18" s="134">
        <f>IF('Employee Master'!B15="","",'Employee Master'!J15)</f>
        <v/>
      </c>
      <c r="H18" s="134">
        <f>IF('Employee Master'!B15="","",'Employee Master'!I15)</f>
        <v/>
      </c>
      <c r="I18" s="134">
        <f>IF('Employee Master'!B15="","",'Employee Master'!K15)</f>
        <v/>
      </c>
      <c r="J18" s="134">
        <f>IF('Employee Master'!B15="","",'Employee Master'!L15)</f>
        <v/>
      </c>
      <c r="K18" s="134">
        <f>IF('Employee Master'!B15="","",'Employee Master'!T15)</f>
        <v/>
      </c>
      <c r="L18" s="134">
        <f>IF('Employee Master'!B15="","",'Employee Master'!M15)</f>
        <v/>
      </c>
      <c r="M18" s="134">
        <f>IF('Employee Master'!B15="","",'Employee Master'!N15)</f>
        <v/>
      </c>
      <c r="N18" s="134">
        <f>IF('Employee Master'!B15="","",'Employee Master'!H15)</f>
        <v/>
      </c>
      <c r="O18" s="134">
        <f>IF('Employee Master'!B15="","",'Employee Master'!AD15)</f>
        <v/>
      </c>
    </row>
    <row r="19" ht="15" customHeight="1" s="120">
      <c r="A19" s="134">
        <f>IF('Employee Master'!B16="","",IF(AND('Employee Master'!AD16="Y",OR('Employee Master'!C16="12:15 PM",'Employee Master'!C16="2:00 PM"),'Employee Master'!E16="N"),"Y","N"))</f>
        <v/>
      </c>
      <c r="B19" s="134">
        <f>IF('Employee Master'!B16="","",'Employee Master'!B16)</f>
        <v/>
      </c>
      <c r="C19" s="134">
        <f>IF('Employee Master'!B16="","",'Employee Master'!C16)</f>
        <v/>
      </c>
      <c r="D19" s="134">
        <f>IF('Employee Master'!B16="","",'Employee Master'!E16)</f>
        <v/>
      </c>
      <c r="E19" s="134">
        <f>IF('Employee Master'!B16="","",'Employee Master'!F16)</f>
        <v/>
      </c>
      <c r="F19" s="134">
        <f>IF('Employee Master'!B16="","",'Employee Master'!P16)</f>
        <v/>
      </c>
      <c r="G19" s="134">
        <f>IF('Employee Master'!B16="","",'Employee Master'!J16)</f>
        <v/>
      </c>
      <c r="H19" s="134">
        <f>IF('Employee Master'!B16="","",'Employee Master'!I16)</f>
        <v/>
      </c>
      <c r="I19" s="134">
        <f>IF('Employee Master'!B16="","",'Employee Master'!K16)</f>
        <v/>
      </c>
      <c r="J19" s="134">
        <f>IF('Employee Master'!B16="","",'Employee Master'!L16)</f>
        <v/>
      </c>
      <c r="K19" s="134">
        <f>IF('Employee Master'!B16="","",'Employee Master'!T16)</f>
        <v/>
      </c>
      <c r="L19" s="134">
        <f>IF('Employee Master'!B16="","",'Employee Master'!M16)</f>
        <v/>
      </c>
      <c r="M19" s="134">
        <f>IF('Employee Master'!B16="","",'Employee Master'!N16)</f>
        <v/>
      </c>
      <c r="N19" s="134">
        <f>IF('Employee Master'!B16="","",'Employee Master'!H16)</f>
        <v/>
      </c>
      <c r="O19" s="134">
        <f>IF('Employee Master'!B16="","",'Employee Master'!AD16)</f>
        <v/>
      </c>
    </row>
    <row r="20" ht="15" customHeight="1" s="120">
      <c r="A20" s="134">
        <f>IF('Employee Master'!B17="","",IF(AND('Employee Master'!AD17="Y",OR('Employee Master'!C17="12:15 PM",'Employee Master'!C17="2:00 PM"),'Employee Master'!E17="N"),"Y","N"))</f>
        <v/>
      </c>
      <c r="B20" s="134">
        <f>IF('Employee Master'!B17="","",'Employee Master'!B17)</f>
        <v/>
      </c>
      <c r="C20" s="134">
        <f>IF('Employee Master'!B17="","",'Employee Master'!C17)</f>
        <v/>
      </c>
      <c r="D20" s="134">
        <f>IF('Employee Master'!B17="","",'Employee Master'!E17)</f>
        <v/>
      </c>
      <c r="E20" s="134">
        <f>IF('Employee Master'!B17="","",'Employee Master'!F17)</f>
        <v/>
      </c>
      <c r="F20" s="134">
        <f>IF('Employee Master'!B17="","",'Employee Master'!P17)</f>
        <v/>
      </c>
      <c r="G20" s="134">
        <f>IF('Employee Master'!B17="","",'Employee Master'!J17)</f>
        <v/>
      </c>
      <c r="H20" s="134">
        <f>IF('Employee Master'!B17="","",'Employee Master'!I17)</f>
        <v/>
      </c>
      <c r="I20" s="134">
        <f>IF('Employee Master'!B17="","",'Employee Master'!K17)</f>
        <v/>
      </c>
      <c r="J20" s="134">
        <f>IF('Employee Master'!B17="","",'Employee Master'!L17)</f>
        <v/>
      </c>
      <c r="K20" s="134">
        <f>IF('Employee Master'!B17="","",'Employee Master'!T17)</f>
        <v/>
      </c>
      <c r="L20" s="134">
        <f>IF('Employee Master'!B17="","",'Employee Master'!M17)</f>
        <v/>
      </c>
      <c r="M20" s="134">
        <f>IF('Employee Master'!B17="","",'Employee Master'!N17)</f>
        <v/>
      </c>
      <c r="N20" s="134">
        <f>IF('Employee Master'!B17="","",'Employee Master'!H17)</f>
        <v/>
      </c>
      <c r="O20" s="134">
        <f>IF('Employee Master'!B17="","",'Employee Master'!AD17)</f>
        <v/>
      </c>
    </row>
    <row r="21" ht="15" customHeight="1" s="120">
      <c r="A21" s="134">
        <f>IF('Employee Master'!B18="","",IF(AND('Employee Master'!AD18="Y",OR('Employee Master'!C18="12:15 PM",'Employee Master'!C18="2:00 PM"),'Employee Master'!E18="N"),"Y","N"))</f>
        <v/>
      </c>
      <c r="B21" s="134">
        <f>IF('Employee Master'!B18="","",'Employee Master'!B18)</f>
        <v/>
      </c>
      <c r="C21" s="134">
        <f>IF('Employee Master'!B18="","",'Employee Master'!C18)</f>
        <v/>
      </c>
      <c r="D21" s="134">
        <f>IF('Employee Master'!B18="","",'Employee Master'!E18)</f>
        <v/>
      </c>
      <c r="E21" s="134">
        <f>IF('Employee Master'!B18="","",'Employee Master'!F18)</f>
        <v/>
      </c>
      <c r="F21" s="134">
        <f>IF('Employee Master'!B18="","",'Employee Master'!P18)</f>
        <v/>
      </c>
      <c r="G21" s="134">
        <f>IF('Employee Master'!B18="","",'Employee Master'!J18)</f>
        <v/>
      </c>
      <c r="H21" s="134">
        <f>IF('Employee Master'!B18="","",'Employee Master'!I18)</f>
        <v/>
      </c>
      <c r="I21" s="134">
        <f>IF('Employee Master'!B18="","",'Employee Master'!K18)</f>
        <v/>
      </c>
      <c r="J21" s="134">
        <f>IF('Employee Master'!B18="","",'Employee Master'!L18)</f>
        <v/>
      </c>
      <c r="K21" s="134">
        <f>IF('Employee Master'!B18="","",'Employee Master'!T18)</f>
        <v/>
      </c>
      <c r="L21" s="134">
        <f>IF('Employee Master'!B18="","",'Employee Master'!M18)</f>
        <v/>
      </c>
      <c r="M21" s="134">
        <f>IF('Employee Master'!B18="","",'Employee Master'!N18)</f>
        <v/>
      </c>
      <c r="N21" s="134">
        <f>IF('Employee Master'!B18="","",'Employee Master'!H18)</f>
        <v/>
      </c>
      <c r="O21" s="134">
        <f>IF('Employee Master'!B18="","",'Employee Master'!AD18)</f>
        <v/>
      </c>
    </row>
    <row r="22" ht="15" customHeight="1" s="120">
      <c r="A22" s="134">
        <f>IF('Employee Master'!B19="","",IF(AND('Employee Master'!AD19="Y",OR('Employee Master'!C19="12:15 PM",'Employee Master'!C19="2:00 PM"),'Employee Master'!E19="N"),"Y","N"))</f>
        <v/>
      </c>
      <c r="B22" s="134">
        <f>IF('Employee Master'!B19="","",'Employee Master'!B19)</f>
        <v/>
      </c>
      <c r="C22" s="134">
        <f>IF('Employee Master'!B19="","",'Employee Master'!C19)</f>
        <v/>
      </c>
      <c r="D22" s="134">
        <f>IF('Employee Master'!B19="","",'Employee Master'!E19)</f>
        <v/>
      </c>
      <c r="E22" s="134">
        <f>IF('Employee Master'!B19="","",'Employee Master'!F19)</f>
        <v/>
      </c>
      <c r="F22" s="134">
        <f>IF('Employee Master'!B19="","",'Employee Master'!P19)</f>
        <v/>
      </c>
      <c r="G22" s="134">
        <f>IF('Employee Master'!B19="","",'Employee Master'!J19)</f>
        <v/>
      </c>
      <c r="H22" s="134">
        <f>IF('Employee Master'!B19="","",'Employee Master'!I19)</f>
        <v/>
      </c>
      <c r="I22" s="134">
        <f>IF('Employee Master'!B19="","",'Employee Master'!K19)</f>
        <v/>
      </c>
      <c r="J22" s="134">
        <f>IF('Employee Master'!B19="","",'Employee Master'!L19)</f>
        <v/>
      </c>
      <c r="K22" s="134">
        <f>IF('Employee Master'!B19="","",'Employee Master'!T19)</f>
        <v/>
      </c>
      <c r="L22" s="134">
        <f>IF('Employee Master'!B19="","",'Employee Master'!M19)</f>
        <v/>
      </c>
      <c r="M22" s="134">
        <f>IF('Employee Master'!B19="","",'Employee Master'!N19)</f>
        <v/>
      </c>
      <c r="N22" s="134">
        <f>IF('Employee Master'!B19="","",'Employee Master'!H19)</f>
        <v/>
      </c>
      <c r="O22" s="134">
        <f>IF('Employee Master'!B19="","",'Employee Master'!AD19)</f>
        <v/>
      </c>
    </row>
    <row r="23" ht="15" customHeight="1" s="120">
      <c r="A23" s="134">
        <f>IF('Employee Master'!B20="","",IF(AND('Employee Master'!AD20="Y",OR('Employee Master'!C20="12:15 PM",'Employee Master'!C20="2:00 PM"),'Employee Master'!E20="N"),"Y","N"))</f>
        <v/>
      </c>
      <c r="B23" s="134">
        <f>IF('Employee Master'!B20="","",'Employee Master'!B20)</f>
        <v/>
      </c>
      <c r="C23" s="134">
        <f>IF('Employee Master'!B20="","",'Employee Master'!C20)</f>
        <v/>
      </c>
      <c r="D23" s="134">
        <f>IF('Employee Master'!B20="","",'Employee Master'!E20)</f>
        <v/>
      </c>
      <c r="E23" s="134">
        <f>IF('Employee Master'!B20="","",'Employee Master'!F20)</f>
        <v/>
      </c>
      <c r="F23" s="134">
        <f>IF('Employee Master'!B20="","",'Employee Master'!P20)</f>
        <v/>
      </c>
      <c r="G23" s="134">
        <f>IF('Employee Master'!B20="","",'Employee Master'!J20)</f>
        <v/>
      </c>
      <c r="H23" s="134">
        <f>IF('Employee Master'!B20="","",'Employee Master'!I20)</f>
        <v/>
      </c>
      <c r="I23" s="134">
        <f>IF('Employee Master'!B20="","",'Employee Master'!K20)</f>
        <v/>
      </c>
      <c r="J23" s="134">
        <f>IF('Employee Master'!B20="","",'Employee Master'!L20)</f>
        <v/>
      </c>
      <c r="K23" s="134">
        <f>IF('Employee Master'!B20="","",'Employee Master'!T20)</f>
        <v/>
      </c>
      <c r="L23" s="134">
        <f>IF('Employee Master'!B20="","",'Employee Master'!M20)</f>
        <v/>
      </c>
      <c r="M23" s="134">
        <f>IF('Employee Master'!B20="","",'Employee Master'!N20)</f>
        <v/>
      </c>
      <c r="N23" s="134">
        <f>IF('Employee Master'!B20="","",'Employee Master'!H20)</f>
        <v/>
      </c>
      <c r="O23" s="134">
        <f>IF('Employee Master'!B20="","",'Employee Master'!AD20)</f>
        <v/>
      </c>
    </row>
    <row r="24" ht="15" customHeight="1" s="120">
      <c r="A24" s="134">
        <f>IF('Employee Master'!B21="","",IF(AND('Employee Master'!AD21="Y",OR('Employee Master'!C21="12:15 PM",'Employee Master'!C21="2:00 PM"),'Employee Master'!E21="N"),"Y","N"))</f>
        <v/>
      </c>
      <c r="B24" s="134">
        <f>IF('Employee Master'!B21="","",'Employee Master'!B21)</f>
        <v/>
      </c>
      <c r="C24" s="134">
        <f>IF('Employee Master'!B21="","",'Employee Master'!C21)</f>
        <v/>
      </c>
      <c r="D24" s="134">
        <f>IF('Employee Master'!B21="","",'Employee Master'!E21)</f>
        <v/>
      </c>
      <c r="E24" s="134">
        <f>IF('Employee Master'!B21="","",'Employee Master'!F21)</f>
        <v/>
      </c>
      <c r="F24" s="134">
        <f>IF('Employee Master'!B21="","",'Employee Master'!P21)</f>
        <v/>
      </c>
      <c r="G24" s="134">
        <f>IF('Employee Master'!B21="","",'Employee Master'!J21)</f>
        <v/>
      </c>
      <c r="H24" s="134">
        <f>IF('Employee Master'!B21="","",'Employee Master'!I21)</f>
        <v/>
      </c>
      <c r="I24" s="134">
        <f>IF('Employee Master'!B21="","",'Employee Master'!K21)</f>
        <v/>
      </c>
      <c r="J24" s="134">
        <f>IF('Employee Master'!B21="","",'Employee Master'!L21)</f>
        <v/>
      </c>
      <c r="K24" s="134">
        <f>IF('Employee Master'!B21="","",'Employee Master'!T21)</f>
        <v/>
      </c>
      <c r="L24" s="134">
        <f>IF('Employee Master'!B21="","",'Employee Master'!M21)</f>
        <v/>
      </c>
      <c r="M24" s="134">
        <f>IF('Employee Master'!B21="","",'Employee Master'!N21)</f>
        <v/>
      </c>
      <c r="N24" s="134">
        <f>IF('Employee Master'!B21="","",'Employee Master'!H21)</f>
        <v/>
      </c>
      <c r="O24" s="134">
        <f>IF('Employee Master'!B21="","",'Employee Master'!AD21)</f>
        <v/>
      </c>
    </row>
    <row r="25" ht="15" customHeight="1" s="120">
      <c r="A25" s="134">
        <f>IF('Employee Master'!B22="","",IF(AND('Employee Master'!AD22="Y",OR('Employee Master'!C22="12:15 PM",'Employee Master'!C22="2:00 PM"),'Employee Master'!E22="N"),"Y","N"))</f>
        <v/>
      </c>
      <c r="B25" s="134">
        <f>IF('Employee Master'!B22="","",'Employee Master'!B22)</f>
        <v/>
      </c>
      <c r="C25" s="134">
        <f>IF('Employee Master'!B22="","",'Employee Master'!C22)</f>
        <v/>
      </c>
      <c r="D25" s="134">
        <f>IF('Employee Master'!B22="","",'Employee Master'!E22)</f>
        <v/>
      </c>
      <c r="E25" s="134">
        <f>IF('Employee Master'!B22="","",'Employee Master'!F22)</f>
        <v/>
      </c>
      <c r="F25" s="134">
        <f>IF('Employee Master'!B22="","",'Employee Master'!P22)</f>
        <v/>
      </c>
      <c r="G25" s="134">
        <f>IF('Employee Master'!B22="","",'Employee Master'!J22)</f>
        <v/>
      </c>
      <c r="H25" s="134">
        <f>IF('Employee Master'!B22="","",'Employee Master'!I22)</f>
        <v/>
      </c>
      <c r="I25" s="134">
        <f>IF('Employee Master'!B22="","",'Employee Master'!K22)</f>
        <v/>
      </c>
      <c r="J25" s="134">
        <f>IF('Employee Master'!B22="","",'Employee Master'!L22)</f>
        <v/>
      </c>
      <c r="K25" s="134">
        <f>IF('Employee Master'!B22="","",'Employee Master'!T22)</f>
        <v/>
      </c>
      <c r="L25" s="134">
        <f>IF('Employee Master'!B22="","",'Employee Master'!M22)</f>
        <v/>
      </c>
      <c r="M25" s="134">
        <f>IF('Employee Master'!B22="","",'Employee Master'!N22)</f>
        <v/>
      </c>
      <c r="N25" s="134">
        <f>IF('Employee Master'!B22="","",'Employee Master'!H22)</f>
        <v/>
      </c>
      <c r="O25" s="134">
        <f>IF('Employee Master'!B22="","",'Employee Master'!AD22)</f>
        <v/>
      </c>
    </row>
    <row r="26" ht="15" customHeight="1" s="120">
      <c r="A26" s="134">
        <f>IF('Employee Master'!B23="","",IF(AND('Employee Master'!AD23="Y",OR('Employee Master'!C23="12:15 PM",'Employee Master'!C23="2:00 PM"),'Employee Master'!E23="N"),"Y","N"))</f>
        <v/>
      </c>
      <c r="B26" s="134">
        <f>IF('Employee Master'!B23="","",'Employee Master'!B23)</f>
        <v/>
      </c>
      <c r="C26" s="134">
        <f>IF('Employee Master'!B23="","",'Employee Master'!C23)</f>
        <v/>
      </c>
      <c r="D26" s="134">
        <f>IF('Employee Master'!B23="","",'Employee Master'!E23)</f>
        <v/>
      </c>
      <c r="E26" s="134">
        <f>IF('Employee Master'!B23="","",'Employee Master'!F23)</f>
        <v/>
      </c>
      <c r="F26" s="134">
        <f>IF('Employee Master'!B23="","",'Employee Master'!P23)</f>
        <v/>
      </c>
      <c r="G26" s="134">
        <f>IF('Employee Master'!B23="","",'Employee Master'!J23)</f>
        <v/>
      </c>
      <c r="H26" s="134">
        <f>IF('Employee Master'!B23="","",'Employee Master'!I23)</f>
        <v/>
      </c>
      <c r="I26" s="134">
        <f>IF('Employee Master'!B23="","",'Employee Master'!K23)</f>
        <v/>
      </c>
      <c r="J26" s="134">
        <f>IF('Employee Master'!B23="","",'Employee Master'!L23)</f>
        <v/>
      </c>
      <c r="K26" s="134">
        <f>IF('Employee Master'!B23="","",'Employee Master'!T23)</f>
        <v/>
      </c>
      <c r="L26" s="134">
        <f>IF('Employee Master'!B23="","",'Employee Master'!M23)</f>
        <v/>
      </c>
      <c r="M26" s="134">
        <f>IF('Employee Master'!B23="","",'Employee Master'!N23)</f>
        <v/>
      </c>
      <c r="N26" s="134">
        <f>IF('Employee Master'!B23="","",'Employee Master'!H23)</f>
        <v/>
      </c>
      <c r="O26" s="134">
        <f>IF('Employee Master'!B23="","",'Employee Master'!AD23)</f>
        <v/>
      </c>
    </row>
    <row r="27" ht="15" customHeight="1" s="120">
      <c r="A27" s="134">
        <f>IF('Employee Master'!B24="","",IF(AND('Employee Master'!AD24="Y",OR('Employee Master'!C24="12:15 PM",'Employee Master'!C24="2:00 PM"),'Employee Master'!E24="N"),"Y","N"))</f>
        <v/>
      </c>
      <c r="B27" s="134">
        <f>IF('Employee Master'!B24="","",'Employee Master'!B24)</f>
        <v/>
      </c>
      <c r="C27" s="134">
        <f>IF('Employee Master'!B24="","",'Employee Master'!C24)</f>
        <v/>
      </c>
      <c r="D27" s="134">
        <f>IF('Employee Master'!B24="","",'Employee Master'!E24)</f>
        <v/>
      </c>
      <c r="E27" s="134">
        <f>IF('Employee Master'!B24="","",'Employee Master'!F24)</f>
        <v/>
      </c>
      <c r="F27" s="134">
        <f>IF('Employee Master'!B24="","",'Employee Master'!P24)</f>
        <v/>
      </c>
      <c r="G27" s="134">
        <f>IF('Employee Master'!B24="","",'Employee Master'!J24)</f>
        <v/>
      </c>
      <c r="H27" s="134">
        <f>IF('Employee Master'!B24="","",'Employee Master'!I24)</f>
        <v/>
      </c>
      <c r="I27" s="134">
        <f>IF('Employee Master'!B24="","",'Employee Master'!K24)</f>
        <v/>
      </c>
      <c r="J27" s="134">
        <f>IF('Employee Master'!B24="","",'Employee Master'!L24)</f>
        <v/>
      </c>
      <c r="K27" s="134">
        <f>IF('Employee Master'!B24="","",'Employee Master'!T24)</f>
        <v/>
      </c>
      <c r="L27" s="134">
        <f>IF('Employee Master'!B24="","",'Employee Master'!M24)</f>
        <v/>
      </c>
      <c r="M27" s="134">
        <f>IF('Employee Master'!B24="","",'Employee Master'!N24)</f>
        <v/>
      </c>
      <c r="N27" s="134">
        <f>IF('Employee Master'!B24="","",'Employee Master'!H24)</f>
        <v/>
      </c>
      <c r="O27" s="134">
        <f>IF('Employee Master'!B24="","",'Employee Master'!AD24)</f>
        <v/>
      </c>
    </row>
    <row r="28" ht="15" customHeight="1" s="120">
      <c r="A28" s="134">
        <f>IF('Employee Master'!B25="","",IF(AND('Employee Master'!AD25="Y",OR('Employee Master'!C25="12:15 PM",'Employee Master'!C25="2:00 PM"),'Employee Master'!E25="N"),"Y","N"))</f>
        <v/>
      </c>
      <c r="B28" s="134">
        <f>IF('Employee Master'!B25="","",'Employee Master'!B25)</f>
        <v/>
      </c>
      <c r="C28" s="134">
        <f>IF('Employee Master'!B25="","",'Employee Master'!C25)</f>
        <v/>
      </c>
      <c r="D28" s="134">
        <f>IF('Employee Master'!B25="","",'Employee Master'!E25)</f>
        <v/>
      </c>
      <c r="E28" s="134">
        <f>IF('Employee Master'!B25="","",'Employee Master'!F25)</f>
        <v/>
      </c>
      <c r="F28" s="134">
        <f>IF('Employee Master'!B25="","",'Employee Master'!P25)</f>
        <v/>
      </c>
      <c r="G28" s="134">
        <f>IF('Employee Master'!B25="","",'Employee Master'!J25)</f>
        <v/>
      </c>
      <c r="H28" s="134">
        <f>IF('Employee Master'!B25="","",'Employee Master'!I25)</f>
        <v/>
      </c>
      <c r="I28" s="134">
        <f>IF('Employee Master'!B25="","",'Employee Master'!K25)</f>
        <v/>
      </c>
      <c r="J28" s="134">
        <f>IF('Employee Master'!B25="","",'Employee Master'!L25)</f>
        <v/>
      </c>
      <c r="K28" s="134">
        <f>IF('Employee Master'!B25="","",'Employee Master'!T25)</f>
        <v/>
      </c>
      <c r="L28" s="134">
        <f>IF('Employee Master'!B25="","",'Employee Master'!M25)</f>
        <v/>
      </c>
      <c r="M28" s="134">
        <f>IF('Employee Master'!B25="","",'Employee Master'!N25)</f>
        <v/>
      </c>
      <c r="N28" s="134">
        <f>IF('Employee Master'!B25="","",'Employee Master'!H25)</f>
        <v/>
      </c>
      <c r="O28" s="134">
        <f>IF('Employee Master'!B25="","",'Employee Master'!AD25)</f>
        <v/>
      </c>
    </row>
    <row r="29" ht="15" customHeight="1" s="120">
      <c r="A29" s="134">
        <f>IF('Employee Master'!B26="","",IF(AND('Employee Master'!AD26="Y",OR('Employee Master'!C26="12:15 PM",'Employee Master'!C26="2:00 PM"),'Employee Master'!E26="N"),"Y","N"))</f>
        <v/>
      </c>
      <c r="B29" s="134">
        <f>IF('Employee Master'!B26="","",'Employee Master'!B26)</f>
        <v/>
      </c>
      <c r="C29" s="134">
        <f>IF('Employee Master'!B26="","",'Employee Master'!C26)</f>
        <v/>
      </c>
      <c r="D29" s="134">
        <f>IF('Employee Master'!B26="","",'Employee Master'!E26)</f>
        <v/>
      </c>
      <c r="E29" s="134">
        <f>IF('Employee Master'!B26="","",'Employee Master'!F26)</f>
        <v/>
      </c>
      <c r="F29" s="134">
        <f>IF('Employee Master'!B26="","",'Employee Master'!P26)</f>
        <v/>
      </c>
      <c r="G29" s="134">
        <f>IF('Employee Master'!B26="","",'Employee Master'!J26)</f>
        <v/>
      </c>
      <c r="H29" s="134">
        <f>IF('Employee Master'!B26="","",'Employee Master'!I26)</f>
        <v/>
      </c>
      <c r="I29" s="134">
        <f>IF('Employee Master'!B26="","",'Employee Master'!K26)</f>
        <v/>
      </c>
      <c r="J29" s="134">
        <f>IF('Employee Master'!B26="","",'Employee Master'!L26)</f>
        <v/>
      </c>
      <c r="K29" s="134">
        <f>IF('Employee Master'!B26="","",'Employee Master'!T26)</f>
        <v/>
      </c>
      <c r="L29" s="134">
        <f>IF('Employee Master'!B26="","",'Employee Master'!M26)</f>
        <v/>
      </c>
      <c r="M29" s="134">
        <f>IF('Employee Master'!B26="","",'Employee Master'!N26)</f>
        <v/>
      </c>
      <c r="N29" s="134">
        <f>IF('Employee Master'!B26="","",'Employee Master'!H26)</f>
        <v/>
      </c>
      <c r="O29" s="134">
        <f>IF('Employee Master'!B26="","",'Employee Master'!AD26)</f>
        <v/>
      </c>
    </row>
    <row r="30" ht="15" customHeight="1" s="120">
      <c r="A30" s="134">
        <f>IF('Employee Master'!B27="","",IF(AND('Employee Master'!AD27="Y",OR('Employee Master'!C27="12:15 PM",'Employee Master'!C27="2:00 PM"),'Employee Master'!E27="N"),"Y","N"))</f>
        <v/>
      </c>
      <c r="B30" s="134">
        <f>IF('Employee Master'!B27="","",'Employee Master'!B27)</f>
        <v/>
      </c>
      <c r="C30" s="134">
        <f>IF('Employee Master'!B27="","",'Employee Master'!C27)</f>
        <v/>
      </c>
      <c r="D30" s="134">
        <f>IF('Employee Master'!B27="","",'Employee Master'!E27)</f>
        <v/>
      </c>
      <c r="E30" s="134">
        <f>IF('Employee Master'!B27="","",'Employee Master'!F27)</f>
        <v/>
      </c>
      <c r="F30" s="134">
        <f>IF('Employee Master'!B27="","",'Employee Master'!P27)</f>
        <v/>
      </c>
      <c r="G30" s="134">
        <f>IF('Employee Master'!B27="","",'Employee Master'!J27)</f>
        <v/>
      </c>
      <c r="H30" s="134">
        <f>IF('Employee Master'!B27="","",'Employee Master'!I27)</f>
        <v/>
      </c>
      <c r="I30" s="134">
        <f>IF('Employee Master'!B27="","",'Employee Master'!K27)</f>
        <v/>
      </c>
      <c r="J30" s="134">
        <f>IF('Employee Master'!B27="","",'Employee Master'!L27)</f>
        <v/>
      </c>
      <c r="K30" s="134">
        <f>IF('Employee Master'!B27="","",'Employee Master'!T27)</f>
        <v/>
      </c>
      <c r="L30" s="134">
        <f>IF('Employee Master'!B27="","",'Employee Master'!M27)</f>
        <v/>
      </c>
      <c r="M30" s="134">
        <f>IF('Employee Master'!B27="","",'Employee Master'!N27)</f>
        <v/>
      </c>
      <c r="N30" s="134">
        <f>IF('Employee Master'!B27="","",'Employee Master'!H27)</f>
        <v/>
      </c>
      <c r="O30" s="134">
        <f>IF('Employee Master'!B27="","",'Employee Master'!AD27)</f>
        <v/>
      </c>
    </row>
    <row r="31" ht="15" customHeight="1" s="120">
      <c r="A31" s="134">
        <f>IF('Employee Master'!B28="","",IF(AND('Employee Master'!AD28="Y",OR('Employee Master'!C28="12:15 PM",'Employee Master'!C28="2:00 PM"),'Employee Master'!E28="N"),"Y","N"))</f>
        <v/>
      </c>
      <c r="B31" s="134">
        <f>IF('Employee Master'!B28="","",'Employee Master'!B28)</f>
        <v/>
      </c>
      <c r="C31" s="134">
        <f>IF('Employee Master'!B28="","",'Employee Master'!C28)</f>
        <v/>
      </c>
      <c r="D31" s="134">
        <f>IF('Employee Master'!B28="","",'Employee Master'!E28)</f>
        <v/>
      </c>
      <c r="E31" s="134">
        <f>IF('Employee Master'!B28="","",'Employee Master'!F28)</f>
        <v/>
      </c>
      <c r="F31" s="134">
        <f>IF('Employee Master'!B28="","",'Employee Master'!P28)</f>
        <v/>
      </c>
      <c r="G31" s="134">
        <f>IF('Employee Master'!B28="","",'Employee Master'!J28)</f>
        <v/>
      </c>
      <c r="H31" s="134">
        <f>IF('Employee Master'!B28="","",'Employee Master'!I28)</f>
        <v/>
      </c>
      <c r="I31" s="134">
        <f>IF('Employee Master'!B28="","",'Employee Master'!K28)</f>
        <v/>
      </c>
      <c r="J31" s="134">
        <f>IF('Employee Master'!B28="","",'Employee Master'!L28)</f>
        <v/>
      </c>
      <c r="K31" s="134">
        <f>IF('Employee Master'!B28="","",'Employee Master'!T28)</f>
        <v/>
      </c>
      <c r="L31" s="134">
        <f>IF('Employee Master'!B28="","",'Employee Master'!M28)</f>
        <v/>
      </c>
      <c r="M31" s="134">
        <f>IF('Employee Master'!B28="","",'Employee Master'!N28)</f>
        <v/>
      </c>
      <c r="N31" s="134">
        <f>IF('Employee Master'!B28="","",'Employee Master'!H28)</f>
        <v/>
      </c>
      <c r="O31" s="134">
        <f>IF('Employee Master'!B28="","",'Employee Master'!AD28)</f>
        <v/>
      </c>
    </row>
    <row r="32" ht="15" customHeight="1" s="120">
      <c r="A32" s="134">
        <f>IF('Employee Master'!B29="","",IF(AND('Employee Master'!AD29="Y",OR('Employee Master'!C29="12:15 PM",'Employee Master'!C29="2:00 PM"),'Employee Master'!E29="N"),"Y","N"))</f>
        <v/>
      </c>
      <c r="B32" s="134">
        <f>IF('Employee Master'!B29="","",'Employee Master'!B29)</f>
        <v/>
      </c>
      <c r="C32" s="134">
        <f>IF('Employee Master'!B29="","",'Employee Master'!C29)</f>
        <v/>
      </c>
      <c r="D32" s="134">
        <f>IF('Employee Master'!B29="","",'Employee Master'!E29)</f>
        <v/>
      </c>
      <c r="E32" s="134">
        <f>IF('Employee Master'!B29="","",'Employee Master'!F29)</f>
        <v/>
      </c>
      <c r="F32" s="134">
        <f>IF('Employee Master'!B29="","",'Employee Master'!P29)</f>
        <v/>
      </c>
      <c r="G32" s="134">
        <f>IF('Employee Master'!B29="","",'Employee Master'!J29)</f>
        <v/>
      </c>
      <c r="H32" s="134">
        <f>IF('Employee Master'!B29="","",'Employee Master'!I29)</f>
        <v/>
      </c>
      <c r="I32" s="134">
        <f>IF('Employee Master'!B29="","",'Employee Master'!K29)</f>
        <v/>
      </c>
      <c r="J32" s="134">
        <f>IF('Employee Master'!B29="","",'Employee Master'!L29)</f>
        <v/>
      </c>
      <c r="K32" s="134">
        <f>IF('Employee Master'!B29="","",'Employee Master'!T29)</f>
        <v/>
      </c>
      <c r="L32" s="134">
        <f>IF('Employee Master'!B29="","",'Employee Master'!M29)</f>
        <v/>
      </c>
      <c r="M32" s="134">
        <f>IF('Employee Master'!B29="","",'Employee Master'!N29)</f>
        <v/>
      </c>
      <c r="N32" s="134">
        <f>IF('Employee Master'!B29="","",'Employee Master'!H29)</f>
        <v/>
      </c>
      <c r="O32" s="134">
        <f>IF('Employee Master'!B29="","",'Employee Master'!AD29)</f>
        <v/>
      </c>
    </row>
    <row r="33" ht="15" customHeight="1" s="120">
      <c r="A33" s="134">
        <f>IF('Employee Master'!B30="","",IF(AND('Employee Master'!AD30="Y",OR('Employee Master'!C30="12:15 PM",'Employee Master'!C30="2:00 PM"),'Employee Master'!E30="N"),"Y","N"))</f>
        <v/>
      </c>
      <c r="B33" s="134">
        <f>IF('Employee Master'!B30="","",'Employee Master'!B30)</f>
        <v/>
      </c>
      <c r="C33" s="134">
        <f>IF('Employee Master'!B30="","",'Employee Master'!C30)</f>
        <v/>
      </c>
      <c r="D33" s="134">
        <f>IF('Employee Master'!B30="","",'Employee Master'!E30)</f>
        <v/>
      </c>
      <c r="E33" s="134">
        <f>IF('Employee Master'!B30="","",'Employee Master'!F30)</f>
        <v/>
      </c>
      <c r="F33" s="134">
        <f>IF('Employee Master'!B30="","",'Employee Master'!P30)</f>
        <v/>
      </c>
      <c r="G33" s="134">
        <f>IF('Employee Master'!B30="","",'Employee Master'!J30)</f>
        <v/>
      </c>
      <c r="H33" s="134">
        <f>IF('Employee Master'!B30="","",'Employee Master'!I30)</f>
        <v/>
      </c>
      <c r="I33" s="134">
        <f>IF('Employee Master'!B30="","",'Employee Master'!K30)</f>
        <v/>
      </c>
      <c r="J33" s="134">
        <f>IF('Employee Master'!B30="","",'Employee Master'!L30)</f>
        <v/>
      </c>
      <c r="K33" s="134">
        <f>IF('Employee Master'!B30="","",'Employee Master'!T30)</f>
        <v/>
      </c>
      <c r="L33" s="134">
        <f>IF('Employee Master'!B30="","",'Employee Master'!M30)</f>
        <v/>
      </c>
      <c r="M33" s="134">
        <f>IF('Employee Master'!B30="","",'Employee Master'!N30)</f>
        <v/>
      </c>
      <c r="N33" s="134">
        <f>IF('Employee Master'!B30="","",'Employee Master'!H30)</f>
        <v/>
      </c>
      <c r="O33" s="134">
        <f>IF('Employee Master'!B30="","",'Employee Master'!AD30)</f>
        <v/>
      </c>
    </row>
    <row r="34" ht="15" customHeight="1" s="120">
      <c r="A34" s="134">
        <f>IF('Employee Master'!B31="","",IF(AND('Employee Master'!AD31="Y",OR('Employee Master'!C31="12:15 PM",'Employee Master'!C31="2:00 PM"),'Employee Master'!E31="N"),"Y","N"))</f>
        <v/>
      </c>
      <c r="B34" s="134">
        <f>IF('Employee Master'!B31="","",'Employee Master'!B31)</f>
        <v/>
      </c>
      <c r="C34" s="134">
        <f>IF('Employee Master'!B31="","",'Employee Master'!C31)</f>
        <v/>
      </c>
      <c r="D34" s="134">
        <f>IF('Employee Master'!B31="","",'Employee Master'!E31)</f>
        <v/>
      </c>
      <c r="E34" s="134">
        <f>IF('Employee Master'!B31="","",'Employee Master'!F31)</f>
        <v/>
      </c>
      <c r="F34" s="134">
        <f>IF('Employee Master'!B31="","",'Employee Master'!P31)</f>
        <v/>
      </c>
      <c r="G34" s="134">
        <f>IF('Employee Master'!B31="","",'Employee Master'!J31)</f>
        <v/>
      </c>
      <c r="H34" s="134">
        <f>IF('Employee Master'!B31="","",'Employee Master'!I31)</f>
        <v/>
      </c>
      <c r="I34" s="134">
        <f>IF('Employee Master'!B31="","",'Employee Master'!K31)</f>
        <v/>
      </c>
      <c r="J34" s="134">
        <f>IF('Employee Master'!B31="","",'Employee Master'!L31)</f>
        <v/>
      </c>
      <c r="K34" s="134">
        <f>IF('Employee Master'!B31="","",'Employee Master'!T31)</f>
        <v/>
      </c>
      <c r="L34" s="134">
        <f>IF('Employee Master'!B31="","",'Employee Master'!M31)</f>
        <v/>
      </c>
      <c r="M34" s="134">
        <f>IF('Employee Master'!B31="","",'Employee Master'!N31)</f>
        <v/>
      </c>
      <c r="N34" s="134">
        <f>IF('Employee Master'!B31="","",'Employee Master'!H31)</f>
        <v/>
      </c>
      <c r="O34" s="134">
        <f>IF('Employee Master'!B31="","",'Employee Master'!AD31)</f>
        <v/>
      </c>
    </row>
    <row r="35" ht="15" customHeight="1" s="120">
      <c r="A35" s="134">
        <f>IF('Employee Master'!B32="","",IF(AND('Employee Master'!AD32="Y",OR('Employee Master'!C32="12:15 PM",'Employee Master'!C32="2:00 PM"),'Employee Master'!E32="N"),"Y","N"))</f>
        <v/>
      </c>
      <c r="B35" s="134">
        <f>IF('Employee Master'!B32="","",'Employee Master'!B32)</f>
        <v/>
      </c>
      <c r="C35" s="134">
        <f>IF('Employee Master'!B32="","",'Employee Master'!C32)</f>
        <v/>
      </c>
      <c r="D35" s="134">
        <f>IF('Employee Master'!B32="","",'Employee Master'!E32)</f>
        <v/>
      </c>
      <c r="E35" s="134">
        <f>IF('Employee Master'!B32="","",'Employee Master'!F32)</f>
        <v/>
      </c>
      <c r="F35" s="134">
        <f>IF('Employee Master'!B32="","",'Employee Master'!P32)</f>
        <v/>
      </c>
      <c r="G35" s="134">
        <f>IF('Employee Master'!B32="","",'Employee Master'!J32)</f>
        <v/>
      </c>
      <c r="H35" s="134">
        <f>IF('Employee Master'!B32="","",'Employee Master'!I32)</f>
        <v/>
      </c>
      <c r="I35" s="134">
        <f>IF('Employee Master'!B32="","",'Employee Master'!K32)</f>
        <v/>
      </c>
      <c r="J35" s="134">
        <f>IF('Employee Master'!B32="","",'Employee Master'!L32)</f>
        <v/>
      </c>
      <c r="K35" s="134">
        <f>IF('Employee Master'!B32="","",'Employee Master'!T32)</f>
        <v/>
      </c>
      <c r="L35" s="134">
        <f>IF('Employee Master'!B32="","",'Employee Master'!M32)</f>
        <v/>
      </c>
      <c r="M35" s="134">
        <f>IF('Employee Master'!B32="","",'Employee Master'!N32)</f>
        <v/>
      </c>
      <c r="N35" s="134">
        <f>IF('Employee Master'!B32="","",'Employee Master'!H32)</f>
        <v/>
      </c>
      <c r="O35" s="134">
        <f>IF('Employee Master'!B32="","",'Employee Master'!AD32)</f>
        <v/>
      </c>
    </row>
    <row r="36" ht="15" customHeight="1" s="120">
      <c r="A36" s="134">
        <f>IF('Employee Master'!B33="","",IF(AND('Employee Master'!AD33="Y",OR('Employee Master'!C33="12:15 PM",'Employee Master'!C33="2:00 PM"),'Employee Master'!E33="N"),"Y","N"))</f>
        <v/>
      </c>
      <c r="B36" s="134">
        <f>IF('Employee Master'!B33="","",'Employee Master'!B33)</f>
        <v/>
      </c>
      <c r="C36" s="134">
        <f>IF('Employee Master'!B33="","",'Employee Master'!C33)</f>
        <v/>
      </c>
      <c r="D36" s="134">
        <f>IF('Employee Master'!B33="","",'Employee Master'!E33)</f>
        <v/>
      </c>
      <c r="E36" s="134">
        <f>IF('Employee Master'!B33="","",'Employee Master'!F33)</f>
        <v/>
      </c>
      <c r="F36" s="134">
        <f>IF('Employee Master'!B33="","",'Employee Master'!P33)</f>
        <v/>
      </c>
      <c r="G36" s="134">
        <f>IF('Employee Master'!B33="","",'Employee Master'!J33)</f>
        <v/>
      </c>
      <c r="H36" s="134">
        <f>IF('Employee Master'!B33="","",'Employee Master'!I33)</f>
        <v/>
      </c>
      <c r="I36" s="134">
        <f>IF('Employee Master'!B33="","",'Employee Master'!K33)</f>
        <v/>
      </c>
      <c r="J36" s="134">
        <f>IF('Employee Master'!B33="","",'Employee Master'!L33)</f>
        <v/>
      </c>
      <c r="K36" s="134">
        <f>IF('Employee Master'!B33="","",'Employee Master'!T33)</f>
        <v/>
      </c>
      <c r="L36" s="134">
        <f>IF('Employee Master'!B33="","",'Employee Master'!M33)</f>
        <v/>
      </c>
      <c r="M36" s="134">
        <f>IF('Employee Master'!B33="","",'Employee Master'!N33)</f>
        <v/>
      </c>
      <c r="N36" s="134">
        <f>IF('Employee Master'!B33="","",'Employee Master'!H33)</f>
        <v/>
      </c>
      <c r="O36" s="134">
        <f>IF('Employee Master'!B33="","",'Employee Master'!AD33)</f>
        <v/>
      </c>
    </row>
    <row r="37" ht="15" customHeight="1" s="120">
      <c r="A37" s="134">
        <f>IF('Employee Master'!B34="","",IF(AND('Employee Master'!AD34="Y",OR('Employee Master'!C34="12:15 PM",'Employee Master'!C34="2:00 PM"),'Employee Master'!E34="N"),"Y","N"))</f>
        <v/>
      </c>
      <c r="B37" s="134">
        <f>IF('Employee Master'!B34="","",'Employee Master'!B34)</f>
        <v/>
      </c>
      <c r="C37" s="134">
        <f>IF('Employee Master'!B34="","",'Employee Master'!C34)</f>
        <v/>
      </c>
      <c r="D37" s="134">
        <f>IF('Employee Master'!B34="","",'Employee Master'!E34)</f>
        <v/>
      </c>
      <c r="E37" s="134">
        <f>IF('Employee Master'!B34="","",'Employee Master'!F34)</f>
        <v/>
      </c>
      <c r="F37" s="134">
        <f>IF('Employee Master'!B34="","",'Employee Master'!P34)</f>
        <v/>
      </c>
      <c r="G37" s="134">
        <f>IF('Employee Master'!B34="","",'Employee Master'!J34)</f>
        <v/>
      </c>
      <c r="H37" s="134">
        <f>IF('Employee Master'!B34="","",'Employee Master'!I34)</f>
        <v/>
      </c>
      <c r="I37" s="134">
        <f>IF('Employee Master'!B34="","",'Employee Master'!K34)</f>
        <v/>
      </c>
      <c r="J37" s="134">
        <f>IF('Employee Master'!B34="","",'Employee Master'!L34)</f>
        <v/>
      </c>
      <c r="K37" s="134">
        <f>IF('Employee Master'!B34="","",'Employee Master'!T34)</f>
        <v/>
      </c>
      <c r="L37" s="134">
        <f>IF('Employee Master'!B34="","",'Employee Master'!M34)</f>
        <v/>
      </c>
      <c r="M37" s="134">
        <f>IF('Employee Master'!B34="","",'Employee Master'!N34)</f>
        <v/>
      </c>
      <c r="N37" s="134">
        <f>IF('Employee Master'!B34="","",'Employee Master'!H34)</f>
        <v/>
      </c>
      <c r="O37" s="134">
        <f>IF('Employee Master'!B34="","",'Employee Master'!AD34)</f>
        <v/>
      </c>
    </row>
    <row r="38" ht="15" customHeight="1" s="120">
      <c r="A38" s="134">
        <f>IF('Employee Master'!B35="","",IF(AND('Employee Master'!AD35="Y",OR('Employee Master'!C35="12:15 PM",'Employee Master'!C35="2:00 PM"),'Employee Master'!E35="N"),"Y","N"))</f>
        <v/>
      </c>
      <c r="B38" s="134">
        <f>IF('Employee Master'!B35="","",'Employee Master'!B35)</f>
        <v/>
      </c>
      <c r="C38" s="134">
        <f>IF('Employee Master'!B35="","",'Employee Master'!C35)</f>
        <v/>
      </c>
      <c r="D38" s="134">
        <f>IF('Employee Master'!B35="","",'Employee Master'!E35)</f>
        <v/>
      </c>
      <c r="E38" s="134">
        <f>IF('Employee Master'!B35="","",'Employee Master'!F35)</f>
        <v/>
      </c>
      <c r="F38" s="134">
        <f>IF('Employee Master'!B35="","",'Employee Master'!P35)</f>
        <v/>
      </c>
      <c r="G38" s="134">
        <f>IF('Employee Master'!B35="","",'Employee Master'!J35)</f>
        <v/>
      </c>
      <c r="H38" s="134">
        <f>IF('Employee Master'!B35="","",'Employee Master'!I35)</f>
        <v/>
      </c>
      <c r="I38" s="134">
        <f>IF('Employee Master'!B35="","",'Employee Master'!K35)</f>
        <v/>
      </c>
      <c r="J38" s="134">
        <f>IF('Employee Master'!B35="","",'Employee Master'!L35)</f>
        <v/>
      </c>
      <c r="K38" s="134">
        <f>IF('Employee Master'!B35="","",'Employee Master'!T35)</f>
        <v/>
      </c>
      <c r="L38" s="134">
        <f>IF('Employee Master'!B35="","",'Employee Master'!M35)</f>
        <v/>
      </c>
      <c r="M38" s="134">
        <f>IF('Employee Master'!B35="","",'Employee Master'!N35)</f>
        <v/>
      </c>
      <c r="N38" s="134">
        <f>IF('Employee Master'!B35="","",'Employee Master'!H35)</f>
        <v/>
      </c>
      <c r="O38" s="134">
        <f>IF('Employee Master'!B35="","",'Employee Master'!AD35)</f>
        <v/>
      </c>
    </row>
    <row r="39" ht="15" customHeight="1" s="120">
      <c r="A39" s="134">
        <f>IF('Employee Master'!B36="","",IF(AND('Employee Master'!AD36="Y",OR('Employee Master'!C36="12:15 PM",'Employee Master'!C36="2:00 PM"),'Employee Master'!E36="N"),"Y","N"))</f>
        <v/>
      </c>
      <c r="B39" s="134">
        <f>IF('Employee Master'!B36="","",'Employee Master'!B36)</f>
        <v/>
      </c>
      <c r="C39" s="134">
        <f>IF('Employee Master'!B36="","",'Employee Master'!C36)</f>
        <v/>
      </c>
      <c r="D39" s="134">
        <f>IF('Employee Master'!B36="","",'Employee Master'!E36)</f>
        <v/>
      </c>
      <c r="E39" s="134">
        <f>IF('Employee Master'!B36="","",'Employee Master'!F36)</f>
        <v/>
      </c>
      <c r="F39" s="134">
        <f>IF('Employee Master'!B36="","",'Employee Master'!P36)</f>
        <v/>
      </c>
      <c r="G39" s="134">
        <f>IF('Employee Master'!B36="","",'Employee Master'!J36)</f>
        <v/>
      </c>
      <c r="H39" s="134">
        <f>IF('Employee Master'!B36="","",'Employee Master'!I36)</f>
        <v/>
      </c>
      <c r="I39" s="134">
        <f>IF('Employee Master'!B36="","",'Employee Master'!K36)</f>
        <v/>
      </c>
      <c r="J39" s="134">
        <f>IF('Employee Master'!B36="","",'Employee Master'!L36)</f>
        <v/>
      </c>
      <c r="K39" s="134">
        <f>IF('Employee Master'!B36="","",'Employee Master'!T36)</f>
        <v/>
      </c>
      <c r="L39" s="134">
        <f>IF('Employee Master'!B36="","",'Employee Master'!M36)</f>
        <v/>
      </c>
      <c r="M39" s="134">
        <f>IF('Employee Master'!B36="","",'Employee Master'!N36)</f>
        <v/>
      </c>
      <c r="N39" s="134">
        <f>IF('Employee Master'!B36="","",'Employee Master'!H36)</f>
        <v/>
      </c>
      <c r="O39" s="134">
        <f>IF('Employee Master'!B36="","",'Employee Master'!AD36)</f>
        <v/>
      </c>
    </row>
    <row r="40" ht="15" customHeight="1" s="120">
      <c r="A40" s="134">
        <f>IF('Employee Master'!B37="","",IF(AND('Employee Master'!AD37="Y",OR('Employee Master'!C37="12:15 PM",'Employee Master'!C37="2:00 PM"),'Employee Master'!E37="N"),"Y","N"))</f>
        <v/>
      </c>
      <c r="B40" s="134">
        <f>IF('Employee Master'!B37="","",'Employee Master'!B37)</f>
        <v/>
      </c>
      <c r="C40" s="134">
        <f>IF('Employee Master'!B37="","",'Employee Master'!C37)</f>
        <v/>
      </c>
      <c r="D40" s="134">
        <f>IF('Employee Master'!B37="","",'Employee Master'!E37)</f>
        <v/>
      </c>
      <c r="E40" s="134">
        <f>IF('Employee Master'!B37="","",'Employee Master'!F37)</f>
        <v/>
      </c>
      <c r="F40" s="134">
        <f>IF('Employee Master'!B37="","",'Employee Master'!P37)</f>
        <v/>
      </c>
      <c r="G40" s="134">
        <f>IF('Employee Master'!B37="","",'Employee Master'!J37)</f>
        <v/>
      </c>
      <c r="H40" s="134">
        <f>IF('Employee Master'!B37="","",'Employee Master'!I37)</f>
        <v/>
      </c>
      <c r="I40" s="134">
        <f>IF('Employee Master'!B37="","",'Employee Master'!K37)</f>
        <v/>
      </c>
      <c r="J40" s="134">
        <f>IF('Employee Master'!B37="","",'Employee Master'!L37)</f>
        <v/>
      </c>
      <c r="K40" s="134">
        <f>IF('Employee Master'!B37="","",'Employee Master'!T37)</f>
        <v/>
      </c>
      <c r="L40" s="134">
        <f>IF('Employee Master'!B37="","",'Employee Master'!M37)</f>
        <v/>
      </c>
      <c r="M40" s="134">
        <f>IF('Employee Master'!B37="","",'Employee Master'!N37)</f>
        <v/>
      </c>
      <c r="N40" s="134">
        <f>IF('Employee Master'!B37="","",'Employee Master'!H37)</f>
        <v/>
      </c>
      <c r="O40" s="134">
        <f>IF('Employee Master'!B37="","",'Employee Master'!AD37)</f>
        <v/>
      </c>
    </row>
    <row r="41" ht="15" customHeight="1" s="120">
      <c r="A41" s="134">
        <f>IF('Employee Master'!B38="","",IF(AND('Employee Master'!AD38="Y",OR('Employee Master'!C38="12:15 PM",'Employee Master'!C38="2:00 PM"),'Employee Master'!E38="N"),"Y","N"))</f>
        <v/>
      </c>
      <c r="B41" s="134">
        <f>IF('Employee Master'!B38="","",'Employee Master'!B38)</f>
        <v/>
      </c>
      <c r="C41" s="134">
        <f>IF('Employee Master'!B38="","",'Employee Master'!C38)</f>
        <v/>
      </c>
      <c r="D41" s="134">
        <f>IF('Employee Master'!B38="","",'Employee Master'!E38)</f>
        <v/>
      </c>
      <c r="E41" s="134">
        <f>IF('Employee Master'!B38="","",'Employee Master'!F38)</f>
        <v/>
      </c>
      <c r="F41" s="134">
        <f>IF('Employee Master'!B38="","",'Employee Master'!P38)</f>
        <v/>
      </c>
      <c r="G41" s="134">
        <f>IF('Employee Master'!B38="","",'Employee Master'!J38)</f>
        <v/>
      </c>
      <c r="H41" s="134">
        <f>IF('Employee Master'!B38="","",'Employee Master'!I38)</f>
        <v/>
      </c>
      <c r="I41" s="134">
        <f>IF('Employee Master'!B38="","",'Employee Master'!K38)</f>
        <v/>
      </c>
      <c r="J41" s="134">
        <f>IF('Employee Master'!B38="","",'Employee Master'!L38)</f>
        <v/>
      </c>
      <c r="K41" s="134">
        <f>IF('Employee Master'!B38="","",'Employee Master'!T38)</f>
        <v/>
      </c>
      <c r="L41" s="134">
        <f>IF('Employee Master'!B38="","",'Employee Master'!M38)</f>
        <v/>
      </c>
      <c r="M41" s="134">
        <f>IF('Employee Master'!B38="","",'Employee Master'!N38)</f>
        <v/>
      </c>
      <c r="N41" s="134">
        <f>IF('Employee Master'!B38="","",'Employee Master'!H38)</f>
        <v/>
      </c>
      <c r="O41" s="134">
        <f>IF('Employee Master'!B38="","",'Employee Master'!AD38)</f>
        <v/>
      </c>
    </row>
    <row r="42" ht="15" customHeight="1" s="120">
      <c r="A42" s="134">
        <f>IF('Employee Master'!B39="","",IF(AND('Employee Master'!AD39="Y",OR('Employee Master'!C39="12:15 PM",'Employee Master'!C39="2:00 PM"),'Employee Master'!E39="N"),"Y","N"))</f>
        <v/>
      </c>
      <c r="B42" s="134">
        <f>IF('Employee Master'!B39="","",'Employee Master'!B39)</f>
        <v/>
      </c>
      <c r="C42" s="134">
        <f>IF('Employee Master'!B39="","",'Employee Master'!C39)</f>
        <v/>
      </c>
      <c r="D42" s="134">
        <f>IF('Employee Master'!B39="","",'Employee Master'!E39)</f>
        <v/>
      </c>
      <c r="E42" s="134">
        <f>IF('Employee Master'!B39="","",'Employee Master'!F39)</f>
        <v/>
      </c>
      <c r="F42" s="134">
        <f>IF('Employee Master'!B39="","",'Employee Master'!P39)</f>
        <v/>
      </c>
      <c r="G42" s="134">
        <f>IF('Employee Master'!B39="","",'Employee Master'!J39)</f>
        <v/>
      </c>
      <c r="H42" s="134">
        <f>IF('Employee Master'!B39="","",'Employee Master'!I39)</f>
        <v/>
      </c>
      <c r="I42" s="134">
        <f>IF('Employee Master'!B39="","",'Employee Master'!K39)</f>
        <v/>
      </c>
      <c r="J42" s="134">
        <f>IF('Employee Master'!B39="","",'Employee Master'!L39)</f>
        <v/>
      </c>
      <c r="K42" s="134">
        <f>IF('Employee Master'!B39="","",'Employee Master'!T39)</f>
        <v/>
      </c>
      <c r="L42" s="134">
        <f>IF('Employee Master'!B39="","",'Employee Master'!M39)</f>
        <v/>
      </c>
      <c r="M42" s="134">
        <f>IF('Employee Master'!B39="","",'Employee Master'!N39)</f>
        <v/>
      </c>
      <c r="N42" s="134">
        <f>IF('Employee Master'!B39="","",'Employee Master'!H39)</f>
        <v/>
      </c>
      <c r="O42" s="134">
        <f>IF('Employee Master'!B39="","",'Employee Master'!AD39)</f>
        <v/>
      </c>
    </row>
    <row r="43" ht="15" customHeight="1" s="120">
      <c r="A43" s="134">
        <f>IF('Employee Master'!B40="","",IF(AND('Employee Master'!AD40="Y",OR('Employee Master'!C40="12:15 PM",'Employee Master'!C40="2:00 PM"),'Employee Master'!E40="N"),"Y","N"))</f>
        <v/>
      </c>
      <c r="B43" s="134">
        <f>IF('Employee Master'!B40="","",'Employee Master'!B40)</f>
        <v/>
      </c>
      <c r="C43" s="134">
        <f>IF('Employee Master'!B40="","",'Employee Master'!C40)</f>
        <v/>
      </c>
      <c r="D43" s="134">
        <f>IF('Employee Master'!B40="","",'Employee Master'!E40)</f>
        <v/>
      </c>
      <c r="E43" s="134">
        <f>IF('Employee Master'!B40="","",'Employee Master'!F40)</f>
        <v/>
      </c>
      <c r="F43" s="134">
        <f>IF('Employee Master'!B40="","",'Employee Master'!P40)</f>
        <v/>
      </c>
      <c r="G43" s="134">
        <f>IF('Employee Master'!B40="","",'Employee Master'!J40)</f>
        <v/>
      </c>
      <c r="H43" s="134">
        <f>IF('Employee Master'!B40="","",'Employee Master'!I40)</f>
        <v/>
      </c>
      <c r="I43" s="134">
        <f>IF('Employee Master'!B40="","",'Employee Master'!K40)</f>
        <v/>
      </c>
      <c r="J43" s="134">
        <f>IF('Employee Master'!B40="","",'Employee Master'!L40)</f>
        <v/>
      </c>
      <c r="K43" s="134">
        <f>IF('Employee Master'!B40="","",'Employee Master'!T40)</f>
        <v/>
      </c>
      <c r="L43" s="134">
        <f>IF('Employee Master'!B40="","",'Employee Master'!M40)</f>
        <v/>
      </c>
      <c r="M43" s="134">
        <f>IF('Employee Master'!B40="","",'Employee Master'!N40)</f>
        <v/>
      </c>
      <c r="N43" s="134">
        <f>IF('Employee Master'!B40="","",'Employee Master'!H40)</f>
        <v/>
      </c>
      <c r="O43" s="134">
        <f>IF('Employee Master'!B40="","",'Employee Master'!AD40)</f>
        <v/>
      </c>
    </row>
    <row r="44" ht="15" customHeight="1" s="120">
      <c r="A44" s="134">
        <f>IF('Employee Master'!B41="","",IF(AND('Employee Master'!AD41="Y",OR('Employee Master'!C41="12:15 PM",'Employee Master'!C41="2:00 PM"),'Employee Master'!E41="N"),"Y","N"))</f>
        <v/>
      </c>
      <c r="B44" s="134">
        <f>IF('Employee Master'!B41="","",'Employee Master'!B41)</f>
        <v/>
      </c>
      <c r="C44" s="134">
        <f>IF('Employee Master'!B41="","",'Employee Master'!C41)</f>
        <v/>
      </c>
      <c r="D44" s="134">
        <f>IF('Employee Master'!B41="","",'Employee Master'!E41)</f>
        <v/>
      </c>
      <c r="E44" s="134">
        <f>IF('Employee Master'!B41="","",'Employee Master'!F41)</f>
        <v/>
      </c>
      <c r="F44" s="134">
        <f>IF('Employee Master'!B41="","",'Employee Master'!P41)</f>
        <v/>
      </c>
      <c r="G44" s="134">
        <f>IF('Employee Master'!B41="","",'Employee Master'!J41)</f>
        <v/>
      </c>
      <c r="H44" s="134">
        <f>IF('Employee Master'!B41="","",'Employee Master'!I41)</f>
        <v/>
      </c>
      <c r="I44" s="134">
        <f>IF('Employee Master'!B41="","",'Employee Master'!K41)</f>
        <v/>
      </c>
      <c r="J44" s="134">
        <f>IF('Employee Master'!B41="","",'Employee Master'!L41)</f>
        <v/>
      </c>
      <c r="K44" s="134">
        <f>IF('Employee Master'!B41="","",'Employee Master'!T41)</f>
        <v/>
      </c>
      <c r="L44" s="134">
        <f>IF('Employee Master'!B41="","",'Employee Master'!M41)</f>
        <v/>
      </c>
      <c r="M44" s="134">
        <f>IF('Employee Master'!B41="","",'Employee Master'!N41)</f>
        <v/>
      </c>
      <c r="N44" s="134">
        <f>IF('Employee Master'!B41="","",'Employee Master'!H41)</f>
        <v/>
      </c>
      <c r="O44" s="134">
        <f>IF('Employee Master'!B41="","",'Employee Master'!AD41)</f>
        <v/>
      </c>
    </row>
    <row r="45" ht="15" customHeight="1" s="120">
      <c r="A45" s="134">
        <f>IF('Employee Master'!B42="","",IF(AND('Employee Master'!AD42="Y",OR('Employee Master'!C42="12:15 PM",'Employee Master'!C42="2:00 PM"),'Employee Master'!E42="N"),"Y","N"))</f>
        <v/>
      </c>
      <c r="B45" s="134">
        <f>IF('Employee Master'!B42="","",'Employee Master'!B42)</f>
        <v/>
      </c>
      <c r="C45" s="134">
        <f>IF('Employee Master'!B42="","",'Employee Master'!C42)</f>
        <v/>
      </c>
      <c r="D45" s="134">
        <f>IF('Employee Master'!B42="","",'Employee Master'!E42)</f>
        <v/>
      </c>
      <c r="E45" s="134">
        <f>IF('Employee Master'!B42="","",'Employee Master'!F42)</f>
        <v/>
      </c>
      <c r="F45" s="134">
        <f>IF('Employee Master'!B42="","",'Employee Master'!P42)</f>
        <v/>
      </c>
      <c r="G45" s="134">
        <f>IF('Employee Master'!B42="","",'Employee Master'!J42)</f>
        <v/>
      </c>
      <c r="H45" s="134">
        <f>IF('Employee Master'!B42="","",'Employee Master'!I42)</f>
        <v/>
      </c>
      <c r="I45" s="134">
        <f>IF('Employee Master'!B42="","",'Employee Master'!K42)</f>
        <v/>
      </c>
      <c r="J45" s="134">
        <f>IF('Employee Master'!B42="","",'Employee Master'!L42)</f>
        <v/>
      </c>
      <c r="K45" s="134">
        <f>IF('Employee Master'!B42="","",'Employee Master'!T42)</f>
        <v/>
      </c>
      <c r="L45" s="134">
        <f>IF('Employee Master'!B42="","",'Employee Master'!M42)</f>
        <v/>
      </c>
      <c r="M45" s="134">
        <f>IF('Employee Master'!B42="","",'Employee Master'!N42)</f>
        <v/>
      </c>
      <c r="N45" s="134">
        <f>IF('Employee Master'!B42="","",'Employee Master'!H42)</f>
        <v/>
      </c>
      <c r="O45" s="134">
        <f>IF('Employee Master'!B42="","",'Employee Master'!AD42)</f>
        <v/>
      </c>
    </row>
    <row r="46" ht="15" customHeight="1" s="120">
      <c r="A46" s="134">
        <f>IF('Employee Master'!B43="","",IF(AND('Employee Master'!AD43="Y",OR('Employee Master'!C43="12:15 PM",'Employee Master'!C43="2:00 PM"),'Employee Master'!E43="N"),"Y","N"))</f>
        <v/>
      </c>
      <c r="B46" s="134">
        <f>IF('Employee Master'!B43="","",'Employee Master'!B43)</f>
        <v/>
      </c>
      <c r="C46" s="134">
        <f>IF('Employee Master'!B43="","",'Employee Master'!C43)</f>
        <v/>
      </c>
      <c r="D46" s="134">
        <f>IF('Employee Master'!B43="","",'Employee Master'!E43)</f>
        <v/>
      </c>
      <c r="E46" s="134">
        <f>IF('Employee Master'!B43="","",'Employee Master'!F43)</f>
        <v/>
      </c>
      <c r="F46" s="134">
        <f>IF('Employee Master'!B43="","",'Employee Master'!P43)</f>
        <v/>
      </c>
      <c r="G46" s="134">
        <f>IF('Employee Master'!B43="","",'Employee Master'!J43)</f>
        <v/>
      </c>
      <c r="H46" s="134">
        <f>IF('Employee Master'!B43="","",'Employee Master'!I43)</f>
        <v/>
      </c>
      <c r="I46" s="134">
        <f>IF('Employee Master'!B43="","",'Employee Master'!K43)</f>
        <v/>
      </c>
      <c r="J46" s="134">
        <f>IF('Employee Master'!B43="","",'Employee Master'!L43)</f>
        <v/>
      </c>
      <c r="K46" s="134">
        <f>IF('Employee Master'!B43="","",'Employee Master'!T43)</f>
        <v/>
      </c>
      <c r="L46" s="134">
        <f>IF('Employee Master'!B43="","",'Employee Master'!M43)</f>
        <v/>
      </c>
      <c r="M46" s="134">
        <f>IF('Employee Master'!B43="","",'Employee Master'!N43)</f>
        <v/>
      </c>
      <c r="N46" s="134">
        <f>IF('Employee Master'!B43="","",'Employee Master'!H43)</f>
        <v/>
      </c>
      <c r="O46" s="134">
        <f>IF('Employee Master'!B43="","",'Employee Master'!AD43)</f>
        <v/>
      </c>
    </row>
    <row r="47" ht="15" customHeight="1" s="120">
      <c r="A47" s="134">
        <f>IF('Employee Master'!B44="","",IF(AND('Employee Master'!AD44="Y",OR('Employee Master'!C44="12:15 PM",'Employee Master'!C44="2:00 PM"),'Employee Master'!E44="N"),"Y","N"))</f>
        <v/>
      </c>
      <c r="B47" s="134">
        <f>IF('Employee Master'!B44="","",'Employee Master'!B44)</f>
        <v/>
      </c>
      <c r="C47" s="134">
        <f>IF('Employee Master'!B44="","",'Employee Master'!C44)</f>
        <v/>
      </c>
      <c r="D47" s="134">
        <f>IF('Employee Master'!B44="","",'Employee Master'!E44)</f>
        <v/>
      </c>
      <c r="E47" s="134">
        <f>IF('Employee Master'!B44="","",'Employee Master'!F44)</f>
        <v/>
      </c>
      <c r="F47" s="134">
        <f>IF('Employee Master'!B44="","",'Employee Master'!P44)</f>
        <v/>
      </c>
      <c r="G47" s="134">
        <f>IF('Employee Master'!B44="","",'Employee Master'!J44)</f>
        <v/>
      </c>
      <c r="H47" s="134">
        <f>IF('Employee Master'!B44="","",'Employee Master'!I44)</f>
        <v/>
      </c>
      <c r="I47" s="134">
        <f>IF('Employee Master'!B44="","",'Employee Master'!K44)</f>
        <v/>
      </c>
      <c r="J47" s="134">
        <f>IF('Employee Master'!B44="","",'Employee Master'!L44)</f>
        <v/>
      </c>
      <c r="K47" s="134">
        <f>IF('Employee Master'!B44="","",'Employee Master'!T44)</f>
        <v/>
      </c>
      <c r="L47" s="134">
        <f>IF('Employee Master'!B44="","",'Employee Master'!M44)</f>
        <v/>
      </c>
      <c r="M47" s="134">
        <f>IF('Employee Master'!B44="","",'Employee Master'!N44)</f>
        <v/>
      </c>
      <c r="N47" s="134">
        <f>IF('Employee Master'!B44="","",'Employee Master'!H44)</f>
        <v/>
      </c>
      <c r="O47" s="134">
        <f>IF('Employee Master'!B44="","",'Employee Master'!AD44)</f>
        <v/>
      </c>
    </row>
    <row r="48" ht="15" customHeight="1" s="120">
      <c r="A48" s="134">
        <f>IF('Employee Master'!B45="","",IF(AND('Employee Master'!AD45="Y",OR('Employee Master'!C45="12:15 PM",'Employee Master'!C45="2:00 PM"),'Employee Master'!E45="N"),"Y","N"))</f>
        <v/>
      </c>
      <c r="B48" s="134">
        <f>IF('Employee Master'!B45="","",'Employee Master'!B45)</f>
        <v/>
      </c>
      <c r="C48" s="134">
        <f>IF('Employee Master'!B45="","",'Employee Master'!C45)</f>
        <v/>
      </c>
      <c r="D48" s="134">
        <f>IF('Employee Master'!B45="","",'Employee Master'!E45)</f>
        <v/>
      </c>
      <c r="E48" s="134">
        <f>IF('Employee Master'!B45="","",'Employee Master'!F45)</f>
        <v/>
      </c>
      <c r="F48" s="134">
        <f>IF('Employee Master'!B45="","",'Employee Master'!P45)</f>
        <v/>
      </c>
      <c r="G48" s="134">
        <f>IF('Employee Master'!B45="","",'Employee Master'!J45)</f>
        <v/>
      </c>
      <c r="H48" s="134">
        <f>IF('Employee Master'!B45="","",'Employee Master'!I45)</f>
        <v/>
      </c>
      <c r="I48" s="134">
        <f>IF('Employee Master'!B45="","",'Employee Master'!K45)</f>
        <v/>
      </c>
      <c r="J48" s="134">
        <f>IF('Employee Master'!B45="","",'Employee Master'!L45)</f>
        <v/>
      </c>
      <c r="K48" s="134">
        <f>IF('Employee Master'!B45="","",'Employee Master'!T45)</f>
        <v/>
      </c>
      <c r="L48" s="134">
        <f>IF('Employee Master'!B45="","",'Employee Master'!M45)</f>
        <v/>
      </c>
      <c r="M48" s="134">
        <f>IF('Employee Master'!B45="","",'Employee Master'!N45)</f>
        <v/>
      </c>
      <c r="N48" s="134">
        <f>IF('Employee Master'!B45="","",'Employee Master'!H45)</f>
        <v/>
      </c>
      <c r="O48" s="134">
        <f>IF('Employee Master'!B45="","",'Employee Master'!AD45)</f>
        <v/>
      </c>
    </row>
    <row r="49" ht="15" customHeight="1" s="120">
      <c r="A49" s="134">
        <f>IF('Employee Master'!B46="","",IF(AND('Employee Master'!AD46="Y",OR('Employee Master'!C46="12:15 PM",'Employee Master'!C46="2:00 PM"),'Employee Master'!E46="N"),"Y","N"))</f>
        <v/>
      </c>
      <c r="B49" s="134">
        <f>IF('Employee Master'!B46="","",'Employee Master'!B46)</f>
        <v/>
      </c>
      <c r="C49" s="134">
        <f>IF('Employee Master'!B46="","",'Employee Master'!C46)</f>
        <v/>
      </c>
      <c r="D49" s="134">
        <f>IF('Employee Master'!B46="","",'Employee Master'!E46)</f>
        <v/>
      </c>
      <c r="E49" s="134">
        <f>IF('Employee Master'!B46="","",'Employee Master'!F46)</f>
        <v/>
      </c>
      <c r="F49" s="134">
        <f>IF('Employee Master'!B46="","",'Employee Master'!P46)</f>
        <v/>
      </c>
      <c r="G49" s="134">
        <f>IF('Employee Master'!B46="","",'Employee Master'!J46)</f>
        <v/>
      </c>
      <c r="H49" s="134">
        <f>IF('Employee Master'!B46="","",'Employee Master'!I46)</f>
        <v/>
      </c>
      <c r="I49" s="134">
        <f>IF('Employee Master'!B46="","",'Employee Master'!K46)</f>
        <v/>
      </c>
      <c r="J49" s="134">
        <f>IF('Employee Master'!B46="","",'Employee Master'!L46)</f>
        <v/>
      </c>
      <c r="K49" s="134">
        <f>IF('Employee Master'!B46="","",'Employee Master'!T46)</f>
        <v/>
      </c>
      <c r="L49" s="134">
        <f>IF('Employee Master'!B46="","",'Employee Master'!M46)</f>
        <v/>
      </c>
      <c r="M49" s="134">
        <f>IF('Employee Master'!B46="","",'Employee Master'!N46)</f>
        <v/>
      </c>
      <c r="N49" s="134">
        <f>IF('Employee Master'!B46="","",'Employee Master'!H46)</f>
        <v/>
      </c>
      <c r="O49" s="134">
        <f>IF('Employee Master'!B46="","",'Employee Master'!AD46)</f>
        <v/>
      </c>
    </row>
    <row r="50" ht="15" customHeight="1" s="120">
      <c r="A50" s="134">
        <f>IF('Employee Master'!B47="","",IF(AND('Employee Master'!AD47="Y",OR('Employee Master'!C47="12:15 PM",'Employee Master'!C47="2:00 PM"),'Employee Master'!E47="N"),"Y","N"))</f>
        <v/>
      </c>
      <c r="B50" s="134">
        <f>IF('Employee Master'!B47="","",'Employee Master'!B47)</f>
        <v/>
      </c>
      <c r="C50" s="134">
        <f>IF('Employee Master'!B47="","",'Employee Master'!C47)</f>
        <v/>
      </c>
      <c r="D50" s="134">
        <f>IF('Employee Master'!B47="","",'Employee Master'!E47)</f>
        <v/>
      </c>
      <c r="E50" s="134">
        <f>IF('Employee Master'!B47="","",'Employee Master'!F47)</f>
        <v/>
      </c>
      <c r="F50" s="134">
        <f>IF('Employee Master'!B47="","",'Employee Master'!P47)</f>
        <v/>
      </c>
      <c r="G50" s="134">
        <f>IF('Employee Master'!B47="","",'Employee Master'!J47)</f>
        <v/>
      </c>
      <c r="H50" s="134">
        <f>IF('Employee Master'!B47="","",'Employee Master'!I47)</f>
        <v/>
      </c>
      <c r="I50" s="134">
        <f>IF('Employee Master'!B47="","",'Employee Master'!K47)</f>
        <v/>
      </c>
      <c r="J50" s="134">
        <f>IF('Employee Master'!B47="","",'Employee Master'!L47)</f>
        <v/>
      </c>
      <c r="K50" s="134">
        <f>IF('Employee Master'!B47="","",'Employee Master'!T47)</f>
        <v/>
      </c>
      <c r="L50" s="134">
        <f>IF('Employee Master'!B47="","",'Employee Master'!M47)</f>
        <v/>
      </c>
      <c r="M50" s="134">
        <f>IF('Employee Master'!B47="","",'Employee Master'!N47)</f>
        <v/>
      </c>
      <c r="N50" s="134">
        <f>IF('Employee Master'!B47="","",'Employee Master'!H47)</f>
        <v/>
      </c>
      <c r="O50" s="134">
        <f>IF('Employee Master'!B47="","",'Employee Master'!AD47)</f>
        <v/>
      </c>
    </row>
    <row r="51" ht="15" customHeight="1" s="120">
      <c r="A51" s="134">
        <f>IF('Employee Master'!B48="","",IF(AND('Employee Master'!AD48="Y",OR('Employee Master'!C48="12:15 PM",'Employee Master'!C48="2:00 PM"),'Employee Master'!E48="N"),"Y","N"))</f>
        <v/>
      </c>
      <c r="B51" s="134">
        <f>IF('Employee Master'!B48="","",'Employee Master'!B48)</f>
        <v/>
      </c>
      <c r="C51" s="134">
        <f>IF('Employee Master'!B48="","",'Employee Master'!C48)</f>
        <v/>
      </c>
      <c r="D51" s="134">
        <f>IF('Employee Master'!B48="","",'Employee Master'!E48)</f>
        <v/>
      </c>
      <c r="E51" s="134">
        <f>IF('Employee Master'!B48="","",'Employee Master'!F48)</f>
        <v/>
      </c>
      <c r="F51" s="134">
        <f>IF('Employee Master'!B48="","",'Employee Master'!P48)</f>
        <v/>
      </c>
      <c r="G51" s="134">
        <f>IF('Employee Master'!B48="","",'Employee Master'!J48)</f>
        <v/>
      </c>
      <c r="H51" s="134">
        <f>IF('Employee Master'!B48="","",'Employee Master'!I48)</f>
        <v/>
      </c>
      <c r="I51" s="134">
        <f>IF('Employee Master'!B48="","",'Employee Master'!K48)</f>
        <v/>
      </c>
      <c r="J51" s="134">
        <f>IF('Employee Master'!B48="","",'Employee Master'!L48)</f>
        <v/>
      </c>
      <c r="K51" s="134">
        <f>IF('Employee Master'!B48="","",'Employee Master'!T48)</f>
        <v/>
      </c>
      <c r="L51" s="134">
        <f>IF('Employee Master'!B48="","",'Employee Master'!M48)</f>
        <v/>
      </c>
      <c r="M51" s="134">
        <f>IF('Employee Master'!B48="","",'Employee Master'!N48)</f>
        <v/>
      </c>
      <c r="N51" s="134">
        <f>IF('Employee Master'!B48="","",'Employee Master'!H48)</f>
        <v/>
      </c>
      <c r="O51" s="134">
        <f>IF('Employee Master'!B48="","",'Employee Master'!AD48)</f>
        <v/>
      </c>
    </row>
    <row r="52" ht="15" customHeight="1" s="120">
      <c r="A52" s="134">
        <f>IF('Employee Master'!B49="","",IF(AND('Employee Master'!AD49="Y",OR('Employee Master'!C49="12:15 PM",'Employee Master'!C49="2:00 PM"),'Employee Master'!E49="N"),"Y","N"))</f>
        <v/>
      </c>
      <c r="B52" s="134">
        <f>IF('Employee Master'!B49="","",'Employee Master'!B49)</f>
        <v/>
      </c>
      <c r="C52" s="134">
        <f>IF('Employee Master'!B49="","",'Employee Master'!C49)</f>
        <v/>
      </c>
      <c r="D52" s="134">
        <f>IF('Employee Master'!B49="","",'Employee Master'!E49)</f>
        <v/>
      </c>
      <c r="E52" s="134">
        <f>IF('Employee Master'!B49="","",'Employee Master'!F49)</f>
        <v/>
      </c>
      <c r="F52" s="134">
        <f>IF('Employee Master'!B49="","",'Employee Master'!P49)</f>
        <v/>
      </c>
      <c r="G52" s="134">
        <f>IF('Employee Master'!B49="","",'Employee Master'!J49)</f>
        <v/>
      </c>
      <c r="H52" s="134">
        <f>IF('Employee Master'!B49="","",'Employee Master'!I49)</f>
        <v/>
      </c>
      <c r="I52" s="134">
        <f>IF('Employee Master'!B49="","",'Employee Master'!K49)</f>
        <v/>
      </c>
      <c r="J52" s="134">
        <f>IF('Employee Master'!B49="","",'Employee Master'!L49)</f>
        <v/>
      </c>
      <c r="K52" s="134">
        <f>IF('Employee Master'!B49="","",'Employee Master'!T49)</f>
        <v/>
      </c>
      <c r="L52" s="134">
        <f>IF('Employee Master'!B49="","",'Employee Master'!M49)</f>
        <v/>
      </c>
      <c r="M52" s="134">
        <f>IF('Employee Master'!B49="","",'Employee Master'!N49)</f>
        <v/>
      </c>
      <c r="N52" s="134">
        <f>IF('Employee Master'!B49="","",'Employee Master'!H49)</f>
        <v/>
      </c>
      <c r="O52" s="134">
        <f>IF('Employee Master'!B49="","",'Employee Master'!AD49)</f>
        <v/>
      </c>
    </row>
    <row r="53" ht="15" customHeight="1" s="120">
      <c r="A53" s="134">
        <f>IF('Employee Master'!B50="","",IF(AND('Employee Master'!AD50="Y",OR('Employee Master'!C50="12:15 PM",'Employee Master'!C50="2:00 PM"),'Employee Master'!E50="N"),"Y","N"))</f>
        <v/>
      </c>
      <c r="B53" s="134">
        <f>IF('Employee Master'!B50="","",'Employee Master'!B50)</f>
        <v/>
      </c>
      <c r="C53" s="134">
        <f>IF('Employee Master'!B50="","",'Employee Master'!C50)</f>
        <v/>
      </c>
      <c r="D53" s="134">
        <f>IF('Employee Master'!B50="","",'Employee Master'!E50)</f>
        <v/>
      </c>
      <c r="E53" s="134">
        <f>IF('Employee Master'!B50="","",'Employee Master'!F50)</f>
        <v/>
      </c>
      <c r="F53" s="134">
        <f>IF('Employee Master'!B50="","",'Employee Master'!P50)</f>
        <v/>
      </c>
      <c r="G53" s="134">
        <f>IF('Employee Master'!B50="","",'Employee Master'!J50)</f>
        <v/>
      </c>
      <c r="H53" s="134">
        <f>IF('Employee Master'!B50="","",'Employee Master'!I50)</f>
        <v/>
      </c>
      <c r="I53" s="134">
        <f>IF('Employee Master'!B50="","",'Employee Master'!K50)</f>
        <v/>
      </c>
      <c r="J53" s="134">
        <f>IF('Employee Master'!B50="","",'Employee Master'!L50)</f>
        <v/>
      </c>
      <c r="K53" s="134">
        <f>IF('Employee Master'!B50="","",'Employee Master'!T50)</f>
        <v/>
      </c>
      <c r="L53" s="134">
        <f>IF('Employee Master'!B50="","",'Employee Master'!M50)</f>
        <v/>
      </c>
      <c r="M53" s="134">
        <f>IF('Employee Master'!B50="","",'Employee Master'!N50)</f>
        <v/>
      </c>
      <c r="N53" s="134">
        <f>IF('Employee Master'!B50="","",'Employee Master'!H50)</f>
        <v/>
      </c>
      <c r="O53" s="134">
        <f>IF('Employee Master'!B50="","",'Employee Master'!AD50)</f>
        <v/>
      </c>
    </row>
    <row r="54" ht="15" customHeight="1" s="120">
      <c r="A54" s="134">
        <f>IF('Employee Master'!B51="","",IF(AND('Employee Master'!AD51="Y",OR('Employee Master'!C51="12:15 PM",'Employee Master'!C51="2:00 PM"),'Employee Master'!E51="N"),"Y","N"))</f>
        <v/>
      </c>
      <c r="B54" s="134">
        <f>IF('Employee Master'!B51="","",'Employee Master'!B51)</f>
        <v/>
      </c>
      <c r="C54" s="134">
        <f>IF('Employee Master'!B51="","",'Employee Master'!C51)</f>
        <v/>
      </c>
      <c r="D54" s="134">
        <f>IF('Employee Master'!B51="","",'Employee Master'!E51)</f>
        <v/>
      </c>
      <c r="E54" s="134">
        <f>IF('Employee Master'!B51="","",'Employee Master'!F51)</f>
        <v/>
      </c>
      <c r="F54" s="134">
        <f>IF('Employee Master'!B51="","",'Employee Master'!P51)</f>
        <v/>
      </c>
      <c r="G54" s="134">
        <f>IF('Employee Master'!B51="","",'Employee Master'!J51)</f>
        <v/>
      </c>
      <c r="H54" s="134">
        <f>IF('Employee Master'!B51="","",'Employee Master'!I51)</f>
        <v/>
      </c>
      <c r="I54" s="134">
        <f>IF('Employee Master'!B51="","",'Employee Master'!K51)</f>
        <v/>
      </c>
      <c r="J54" s="134">
        <f>IF('Employee Master'!B51="","",'Employee Master'!L51)</f>
        <v/>
      </c>
      <c r="K54" s="134">
        <f>IF('Employee Master'!B51="","",'Employee Master'!T51)</f>
        <v/>
      </c>
      <c r="L54" s="134">
        <f>IF('Employee Master'!B51="","",'Employee Master'!M51)</f>
        <v/>
      </c>
      <c r="M54" s="134">
        <f>IF('Employee Master'!B51="","",'Employee Master'!N51)</f>
        <v/>
      </c>
      <c r="N54" s="134">
        <f>IF('Employee Master'!B51="","",'Employee Master'!H51)</f>
        <v/>
      </c>
      <c r="O54" s="134">
        <f>IF('Employee Master'!B51="","",'Employee Master'!AD51)</f>
        <v/>
      </c>
    </row>
    <row r="55" ht="15" customHeight="1" s="120">
      <c r="A55" s="134">
        <f>IF('Employee Master'!B52="","",IF(AND('Employee Master'!AD52="Y",OR('Employee Master'!C52="12:15 PM",'Employee Master'!C52="2:00 PM"),'Employee Master'!E52="N"),"Y","N"))</f>
        <v/>
      </c>
      <c r="B55" s="134">
        <f>IF('Employee Master'!B52="","",'Employee Master'!B52)</f>
        <v/>
      </c>
      <c r="C55" s="134">
        <f>IF('Employee Master'!B52="","",'Employee Master'!C52)</f>
        <v/>
      </c>
      <c r="D55" s="134">
        <f>IF('Employee Master'!B52="","",'Employee Master'!E52)</f>
        <v/>
      </c>
      <c r="E55" s="134">
        <f>IF('Employee Master'!B52="","",'Employee Master'!F52)</f>
        <v/>
      </c>
      <c r="F55" s="134">
        <f>IF('Employee Master'!B52="","",'Employee Master'!P52)</f>
        <v/>
      </c>
      <c r="G55" s="134">
        <f>IF('Employee Master'!B52="","",'Employee Master'!J52)</f>
        <v/>
      </c>
      <c r="H55" s="134">
        <f>IF('Employee Master'!B52="","",'Employee Master'!I52)</f>
        <v/>
      </c>
      <c r="I55" s="134">
        <f>IF('Employee Master'!B52="","",'Employee Master'!K52)</f>
        <v/>
      </c>
      <c r="J55" s="134">
        <f>IF('Employee Master'!B52="","",'Employee Master'!L52)</f>
        <v/>
      </c>
      <c r="K55" s="134">
        <f>IF('Employee Master'!B52="","",'Employee Master'!T52)</f>
        <v/>
      </c>
      <c r="L55" s="134">
        <f>IF('Employee Master'!B52="","",'Employee Master'!M52)</f>
        <v/>
      </c>
      <c r="M55" s="134">
        <f>IF('Employee Master'!B52="","",'Employee Master'!N52)</f>
        <v/>
      </c>
      <c r="N55" s="134">
        <f>IF('Employee Master'!B52="","",'Employee Master'!H52)</f>
        <v/>
      </c>
      <c r="O55" s="134">
        <f>IF('Employee Master'!B52="","",'Employee Master'!AD52)</f>
        <v/>
      </c>
    </row>
    <row r="56" ht="15" customHeight="1" s="120">
      <c r="A56" s="134">
        <f>IF('Employee Master'!B53="","",IF(AND('Employee Master'!AD53="Y",OR('Employee Master'!C53="12:15 PM",'Employee Master'!C53="2:00 PM"),'Employee Master'!E53="N"),"Y","N"))</f>
        <v/>
      </c>
      <c r="B56" s="134">
        <f>IF('Employee Master'!B53="","",'Employee Master'!B53)</f>
        <v/>
      </c>
      <c r="C56" s="134">
        <f>IF('Employee Master'!B53="","",'Employee Master'!C53)</f>
        <v/>
      </c>
      <c r="D56" s="134">
        <f>IF('Employee Master'!B53="","",'Employee Master'!E53)</f>
        <v/>
      </c>
      <c r="E56" s="134">
        <f>IF('Employee Master'!B53="","",'Employee Master'!F53)</f>
        <v/>
      </c>
      <c r="F56" s="134">
        <f>IF('Employee Master'!B53="","",'Employee Master'!P53)</f>
        <v/>
      </c>
      <c r="G56" s="134">
        <f>IF('Employee Master'!B53="","",'Employee Master'!J53)</f>
        <v/>
      </c>
      <c r="H56" s="134">
        <f>IF('Employee Master'!B53="","",'Employee Master'!I53)</f>
        <v/>
      </c>
      <c r="I56" s="134">
        <f>IF('Employee Master'!B53="","",'Employee Master'!K53)</f>
        <v/>
      </c>
      <c r="J56" s="134">
        <f>IF('Employee Master'!B53="","",'Employee Master'!L53)</f>
        <v/>
      </c>
      <c r="K56" s="134">
        <f>IF('Employee Master'!B53="","",'Employee Master'!T53)</f>
        <v/>
      </c>
      <c r="L56" s="134">
        <f>IF('Employee Master'!B53="","",'Employee Master'!M53)</f>
        <v/>
      </c>
      <c r="M56" s="134">
        <f>IF('Employee Master'!B53="","",'Employee Master'!N53)</f>
        <v/>
      </c>
      <c r="N56" s="134">
        <f>IF('Employee Master'!B53="","",'Employee Master'!H53)</f>
        <v/>
      </c>
      <c r="O56" s="134">
        <f>IF('Employee Master'!B53="","",'Employee Master'!AD53)</f>
        <v/>
      </c>
    </row>
    <row r="57" ht="15" customHeight="1" s="120">
      <c r="A57" s="134">
        <f>IF('Employee Master'!B54="","",IF(AND('Employee Master'!AD54="Y",OR('Employee Master'!C54="12:15 PM",'Employee Master'!C54="2:00 PM"),'Employee Master'!E54="N"),"Y","N"))</f>
        <v/>
      </c>
      <c r="B57" s="134">
        <f>IF('Employee Master'!B54="","",'Employee Master'!B54)</f>
        <v/>
      </c>
      <c r="C57" s="134">
        <f>IF('Employee Master'!B54="","",'Employee Master'!C54)</f>
        <v/>
      </c>
      <c r="D57" s="134">
        <f>IF('Employee Master'!B54="","",'Employee Master'!E54)</f>
        <v/>
      </c>
      <c r="E57" s="134">
        <f>IF('Employee Master'!B54="","",'Employee Master'!F54)</f>
        <v/>
      </c>
      <c r="F57" s="134">
        <f>IF('Employee Master'!B54="","",'Employee Master'!P54)</f>
        <v/>
      </c>
      <c r="G57" s="134">
        <f>IF('Employee Master'!B54="","",'Employee Master'!J54)</f>
        <v/>
      </c>
      <c r="H57" s="134">
        <f>IF('Employee Master'!B54="","",'Employee Master'!I54)</f>
        <v/>
      </c>
      <c r="I57" s="134">
        <f>IF('Employee Master'!B54="","",'Employee Master'!K54)</f>
        <v/>
      </c>
      <c r="J57" s="134">
        <f>IF('Employee Master'!B54="","",'Employee Master'!L54)</f>
        <v/>
      </c>
      <c r="K57" s="134">
        <f>IF('Employee Master'!B54="","",'Employee Master'!T54)</f>
        <v/>
      </c>
      <c r="L57" s="134">
        <f>IF('Employee Master'!B54="","",'Employee Master'!M54)</f>
        <v/>
      </c>
      <c r="M57" s="134">
        <f>IF('Employee Master'!B54="","",'Employee Master'!N54)</f>
        <v/>
      </c>
      <c r="N57" s="134">
        <f>IF('Employee Master'!B54="","",'Employee Master'!H54)</f>
        <v/>
      </c>
      <c r="O57" s="134">
        <f>IF('Employee Master'!B54="","",'Employee Master'!AD54)</f>
        <v/>
      </c>
    </row>
    <row r="58" ht="15" customHeight="1" s="120">
      <c r="A58" s="134">
        <f>IF('Employee Master'!B55="","",IF(AND('Employee Master'!AD55="Y",OR('Employee Master'!C55="12:15 PM",'Employee Master'!C55="2:00 PM"),'Employee Master'!E55="N"),"Y","N"))</f>
        <v/>
      </c>
      <c r="B58" s="134">
        <f>IF('Employee Master'!B55="","",'Employee Master'!B55)</f>
        <v/>
      </c>
      <c r="C58" s="134">
        <f>IF('Employee Master'!B55="","",'Employee Master'!C55)</f>
        <v/>
      </c>
      <c r="D58" s="134">
        <f>IF('Employee Master'!B55="","",'Employee Master'!E55)</f>
        <v/>
      </c>
      <c r="E58" s="134">
        <f>IF('Employee Master'!B55="","",'Employee Master'!F55)</f>
        <v/>
      </c>
      <c r="F58" s="134">
        <f>IF('Employee Master'!B55="","",'Employee Master'!P55)</f>
        <v/>
      </c>
      <c r="G58" s="134">
        <f>IF('Employee Master'!B55="","",'Employee Master'!J55)</f>
        <v/>
      </c>
      <c r="H58" s="134">
        <f>IF('Employee Master'!B55="","",'Employee Master'!I55)</f>
        <v/>
      </c>
      <c r="I58" s="134">
        <f>IF('Employee Master'!B55="","",'Employee Master'!K55)</f>
        <v/>
      </c>
      <c r="J58" s="134">
        <f>IF('Employee Master'!B55="","",'Employee Master'!L55)</f>
        <v/>
      </c>
      <c r="K58" s="134">
        <f>IF('Employee Master'!B55="","",'Employee Master'!T55)</f>
        <v/>
      </c>
      <c r="L58" s="134">
        <f>IF('Employee Master'!B55="","",'Employee Master'!M55)</f>
        <v/>
      </c>
      <c r="M58" s="134">
        <f>IF('Employee Master'!B55="","",'Employee Master'!N55)</f>
        <v/>
      </c>
      <c r="N58" s="134">
        <f>IF('Employee Master'!B55="","",'Employee Master'!H55)</f>
        <v/>
      </c>
      <c r="O58" s="134">
        <f>IF('Employee Master'!B55="","",'Employee Master'!AD55)</f>
        <v/>
      </c>
    </row>
    <row r="59" ht="15" customHeight="1" s="120">
      <c r="A59" s="134">
        <f>IF('Employee Master'!B56="","",IF(AND('Employee Master'!AD56="Y",OR('Employee Master'!C56="12:15 PM",'Employee Master'!C56="2:00 PM"),'Employee Master'!E56="N"),"Y","N"))</f>
        <v/>
      </c>
      <c r="B59" s="134">
        <f>IF('Employee Master'!B56="","",'Employee Master'!B56)</f>
        <v/>
      </c>
      <c r="C59" s="134">
        <f>IF('Employee Master'!B56="","",'Employee Master'!C56)</f>
        <v/>
      </c>
      <c r="D59" s="134">
        <f>IF('Employee Master'!B56="","",'Employee Master'!E56)</f>
        <v/>
      </c>
      <c r="E59" s="134">
        <f>IF('Employee Master'!B56="","",'Employee Master'!F56)</f>
        <v/>
      </c>
      <c r="F59" s="134">
        <f>IF('Employee Master'!B56="","",'Employee Master'!P56)</f>
        <v/>
      </c>
      <c r="G59" s="134">
        <f>IF('Employee Master'!B56="","",'Employee Master'!J56)</f>
        <v/>
      </c>
      <c r="H59" s="134">
        <f>IF('Employee Master'!B56="","",'Employee Master'!I56)</f>
        <v/>
      </c>
      <c r="I59" s="134">
        <f>IF('Employee Master'!B56="","",'Employee Master'!K56)</f>
        <v/>
      </c>
      <c r="J59" s="134">
        <f>IF('Employee Master'!B56="","",'Employee Master'!L56)</f>
        <v/>
      </c>
      <c r="K59" s="134">
        <f>IF('Employee Master'!B56="","",'Employee Master'!T56)</f>
        <v/>
      </c>
      <c r="L59" s="134">
        <f>IF('Employee Master'!B56="","",'Employee Master'!M56)</f>
        <v/>
      </c>
      <c r="M59" s="134">
        <f>IF('Employee Master'!B56="","",'Employee Master'!N56)</f>
        <v/>
      </c>
      <c r="N59" s="134">
        <f>IF('Employee Master'!B56="","",'Employee Master'!H56)</f>
        <v/>
      </c>
      <c r="O59" s="134">
        <f>IF('Employee Master'!B56="","",'Employee Master'!AD56)</f>
        <v/>
      </c>
    </row>
    <row r="60" ht="15" customHeight="1" s="120">
      <c r="A60" s="134">
        <f>IF('Employee Master'!B57="","",IF(AND('Employee Master'!AD57="Y",OR('Employee Master'!C57="12:15 PM",'Employee Master'!C57="2:00 PM"),'Employee Master'!E57="N"),"Y","N"))</f>
        <v/>
      </c>
      <c r="B60" s="134">
        <f>IF('Employee Master'!B57="","",'Employee Master'!B57)</f>
        <v/>
      </c>
      <c r="C60" s="134">
        <f>IF('Employee Master'!B57="","",'Employee Master'!C57)</f>
        <v/>
      </c>
      <c r="D60" s="134">
        <f>IF('Employee Master'!B57="","",'Employee Master'!E57)</f>
        <v/>
      </c>
      <c r="E60" s="134">
        <f>IF('Employee Master'!B57="","",'Employee Master'!F57)</f>
        <v/>
      </c>
      <c r="F60" s="134">
        <f>IF('Employee Master'!B57="","",'Employee Master'!P57)</f>
        <v/>
      </c>
      <c r="G60" s="134">
        <f>IF('Employee Master'!B57="","",'Employee Master'!J57)</f>
        <v/>
      </c>
      <c r="H60" s="134">
        <f>IF('Employee Master'!B57="","",'Employee Master'!I57)</f>
        <v/>
      </c>
      <c r="I60" s="134">
        <f>IF('Employee Master'!B57="","",'Employee Master'!K57)</f>
        <v/>
      </c>
      <c r="J60" s="134">
        <f>IF('Employee Master'!B57="","",'Employee Master'!L57)</f>
        <v/>
      </c>
      <c r="K60" s="134">
        <f>IF('Employee Master'!B57="","",'Employee Master'!T57)</f>
        <v/>
      </c>
      <c r="L60" s="134">
        <f>IF('Employee Master'!B57="","",'Employee Master'!M57)</f>
        <v/>
      </c>
      <c r="M60" s="134">
        <f>IF('Employee Master'!B57="","",'Employee Master'!N57)</f>
        <v/>
      </c>
      <c r="N60" s="134">
        <f>IF('Employee Master'!B57="","",'Employee Master'!H57)</f>
        <v/>
      </c>
      <c r="O60" s="134">
        <f>IF('Employee Master'!B57="","",'Employee Master'!AD57)</f>
        <v/>
      </c>
    </row>
    <row r="61" ht="15" customHeight="1" s="120">
      <c r="A61" s="134">
        <f>IF('Employee Master'!B58="","",IF(AND('Employee Master'!AD58="Y",OR('Employee Master'!C58="12:15 PM",'Employee Master'!C58="2:00 PM"),'Employee Master'!E58="N"),"Y","N"))</f>
        <v/>
      </c>
      <c r="B61" s="134">
        <f>IF('Employee Master'!B58="","",'Employee Master'!B58)</f>
        <v/>
      </c>
      <c r="C61" s="134">
        <f>IF('Employee Master'!B58="","",'Employee Master'!C58)</f>
        <v/>
      </c>
      <c r="D61" s="134">
        <f>IF('Employee Master'!B58="","",'Employee Master'!E58)</f>
        <v/>
      </c>
      <c r="E61" s="134">
        <f>IF('Employee Master'!B58="","",'Employee Master'!F58)</f>
        <v/>
      </c>
      <c r="F61" s="134">
        <f>IF('Employee Master'!B58="","",'Employee Master'!P58)</f>
        <v/>
      </c>
      <c r="G61" s="134">
        <f>IF('Employee Master'!B58="","",'Employee Master'!J58)</f>
        <v/>
      </c>
      <c r="H61" s="134">
        <f>IF('Employee Master'!B58="","",'Employee Master'!I58)</f>
        <v/>
      </c>
      <c r="I61" s="134">
        <f>IF('Employee Master'!B58="","",'Employee Master'!K58)</f>
        <v/>
      </c>
      <c r="J61" s="134">
        <f>IF('Employee Master'!B58="","",'Employee Master'!L58)</f>
        <v/>
      </c>
      <c r="K61" s="134">
        <f>IF('Employee Master'!B58="","",'Employee Master'!T58)</f>
        <v/>
      </c>
      <c r="L61" s="134">
        <f>IF('Employee Master'!B58="","",'Employee Master'!M58)</f>
        <v/>
      </c>
      <c r="M61" s="134">
        <f>IF('Employee Master'!B58="","",'Employee Master'!N58)</f>
        <v/>
      </c>
      <c r="N61" s="134">
        <f>IF('Employee Master'!B58="","",'Employee Master'!H58)</f>
        <v/>
      </c>
      <c r="O61" s="134">
        <f>IF('Employee Master'!B58="","",'Employee Master'!AD58)</f>
        <v/>
      </c>
    </row>
    <row r="62" ht="15" customHeight="1" s="120">
      <c r="A62" s="134">
        <f>IF('Employee Master'!B59="","",IF(AND('Employee Master'!AD59="Y",OR('Employee Master'!C59="12:15 PM",'Employee Master'!C59="2:00 PM"),'Employee Master'!E59="N"),"Y","N"))</f>
        <v/>
      </c>
      <c r="B62" s="134">
        <f>IF('Employee Master'!B59="","",'Employee Master'!B59)</f>
        <v/>
      </c>
      <c r="C62" s="134">
        <f>IF('Employee Master'!B59="","",'Employee Master'!C59)</f>
        <v/>
      </c>
      <c r="D62" s="134">
        <f>IF('Employee Master'!B59="","",'Employee Master'!E59)</f>
        <v/>
      </c>
      <c r="E62" s="134">
        <f>IF('Employee Master'!B59="","",'Employee Master'!F59)</f>
        <v/>
      </c>
      <c r="F62" s="134">
        <f>IF('Employee Master'!B59="","",'Employee Master'!P59)</f>
        <v/>
      </c>
      <c r="G62" s="134">
        <f>IF('Employee Master'!B59="","",'Employee Master'!J59)</f>
        <v/>
      </c>
      <c r="H62" s="134">
        <f>IF('Employee Master'!B59="","",'Employee Master'!I59)</f>
        <v/>
      </c>
      <c r="I62" s="134">
        <f>IF('Employee Master'!B59="","",'Employee Master'!K59)</f>
        <v/>
      </c>
      <c r="J62" s="134">
        <f>IF('Employee Master'!B59="","",'Employee Master'!L59)</f>
        <v/>
      </c>
      <c r="K62" s="134">
        <f>IF('Employee Master'!B59="","",'Employee Master'!T59)</f>
        <v/>
      </c>
      <c r="L62" s="134">
        <f>IF('Employee Master'!B59="","",'Employee Master'!M59)</f>
        <v/>
      </c>
      <c r="M62" s="134">
        <f>IF('Employee Master'!B59="","",'Employee Master'!N59)</f>
        <v/>
      </c>
      <c r="N62" s="134">
        <f>IF('Employee Master'!B59="","",'Employee Master'!H59)</f>
        <v/>
      </c>
      <c r="O62" s="134">
        <f>IF('Employee Master'!B59="","",'Employee Master'!AD59)</f>
        <v/>
      </c>
    </row>
    <row r="63" ht="15" customHeight="1" s="120">
      <c r="A63" s="134">
        <f>IF('Employee Master'!B60="","",IF(AND('Employee Master'!AD60="Y",OR('Employee Master'!C60="12:15 PM",'Employee Master'!C60="2:00 PM"),'Employee Master'!E60="N"),"Y","N"))</f>
        <v/>
      </c>
      <c r="B63" s="134">
        <f>IF('Employee Master'!B60="","",'Employee Master'!B60)</f>
        <v/>
      </c>
      <c r="C63" s="134">
        <f>IF('Employee Master'!B60="","",'Employee Master'!C60)</f>
        <v/>
      </c>
      <c r="D63" s="134">
        <f>IF('Employee Master'!B60="","",'Employee Master'!E60)</f>
        <v/>
      </c>
      <c r="E63" s="134">
        <f>IF('Employee Master'!B60="","",'Employee Master'!F60)</f>
        <v/>
      </c>
      <c r="F63" s="134">
        <f>IF('Employee Master'!B60="","",'Employee Master'!P60)</f>
        <v/>
      </c>
      <c r="G63" s="134">
        <f>IF('Employee Master'!B60="","",'Employee Master'!J60)</f>
        <v/>
      </c>
      <c r="H63" s="134">
        <f>IF('Employee Master'!B60="","",'Employee Master'!I60)</f>
        <v/>
      </c>
      <c r="I63" s="134">
        <f>IF('Employee Master'!B60="","",'Employee Master'!K60)</f>
        <v/>
      </c>
      <c r="J63" s="134">
        <f>IF('Employee Master'!B60="","",'Employee Master'!L60)</f>
        <v/>
      </c>
      <c r="K63" s="134">
        <f>IF('Employee Master'!B60="","",'Employee Master'!T60)</f>
        <v/>
      </c>
      <c r="L63" s="134">
        <f>IF('Employee Master'!B60="","",'Employee Master'!M60)</f>
        <v/>
      </c>
      <c r="M63" s="134">
        <f>IF('Employee Master'!B60="","",'Employee Master'!N60)</f>
        <v/>
      </c>
      <c r="N63" s="134">
        <f>IF('Employee Master'!B60="","",'Employee Master'!H60)</f>
        <v/>
      </c>
      <c r="O63" s="134">
        <f>IF('Employee Master'!B60="","",'Employee Master'!AD60)</f>
        <v/>
      </c>
    </row>
    <row r="64" ht="15" customHeight="1" s="120">
      <c r="A64" s="134">
        <f>IF('Employee Master'!B61="","",IF(AND('Employee Master'!AD61="Y",OR('Employee Master'!C61="12:15 PM",'Employee Master'!C61="2:00 PM"),'Employee Master'!E61="N"),"Y","N"))</f>
        <v/>
      </c>
      <c r="B64" s="134">
        <f>IF('Employee Master'!B61="","",'Employee Master'!B61)</f>
        <v/>
      </c>
      <c r="C64" s="134">
        <f>IF('Employee Master'!B61="","",'Employee Master'!C61)</f>
        <v/>
      </c>
      <c r="D64" s="134">
        <f>IF('Employee Master'!B61="","",'Employee Master'!E61)</f>
        <v/>
      </c>
      <c r="E64" s="134">
        <f>IF('Employee Master'!B61="","",'Employee Master'!F61)</f>
        <v/>
      </c>
      <c r="F64" s="134">
        <f>IF('Employee Master'!B61="","",'Employee Master'!P61)</f>
        <v/>
      </c>
      <c r="G64" s="134">
        <f>IF('Employee Master'!B61="","",'Employee Master'!J61)</f>
        <v/>
      </c>
      <c r="H64" s="134">
        <f>IF('Employee Master'!B61="","",'Employee Master'!I61)</f>
        <v/>
      </c>
      <c r="I64" s="134">
        <f>IF('Employee Master'!B61="","",'Employee Master'!K61)</f>
        <v/>
      </c>
      <c r="J64" s="134">
        <f>IF('Employee Master'!B61="","",'Employee Master'!L61)</f>
        <v/>
      </c>
      <c r="K64" s="134">
        <f>IF('Employee Master'!B61="","",'Employee Master'!T61)</f>
        <v/>
      </c>
      <c r="L64" s="134">
        <f>IF('Employee Master'!B61="","",'Employee Master'!M61)</f>
        <v/>
      </c>
      <c r="M64" s="134">
        <f>IF('Employee Master'!B61="","",'Employee Master'!N61)</f>
        <v/>
      </c>
      <c r="N64" s="134">
        <f>IF('Employee Master'!B61="","",'Employee Master'!H61)</f>
        <v/>
      </c>
      <c r="O64" s="134">
        <f>IF('Employee Master'!B61="","",'Employee Master'!AD61)</f>
        <v/>
      </c>
    </row>
    <row r="65" ht="15" customHeight="1" s="120">
      <c r="A65" s="134">
        <f>IF('Employee Master'!B62="","",IF(AND('Employee Master'!AD62="Y",OR('Employee Master'!C62="12:15 PM",'Employee Master'!C62="2:00 PM"),'Employee Master'!E62="N"),"Y","N"))</f>
        <v/>
      </c>
      <c r="B65" s="134">
        <f>IF('Employee Master'!B62="","",'Employee Master'!B62)</f>
        <v/>
      </c>
      <c r="C65" s="134">
        <f>IF('Employee Master'!B62="","",'Employee Master'!C62)</f>
        <v/>
      </c>
      <c r="D65" s="134">
        <f>IF('Employee Master'!B62="","",'Employee Master'!E62)</f>
        <v/>
      </c>
      <c r="E65" s="134">
        <f>IF('Employee Master'!B62="","",'Employee Master'!F62)</f>
        <v/>
      </c>
      <c r="F65" s="134">
        <f>IF('Employee Master'!B62="","",'Employee Master'!P62)</f>
        <v/>
      </c>
      <c r="G65" s="134">
        <f>IF('Employee Master'!B62="","",'Employee Master'!J62)</f>
        <v/>
      </c>
      <c r="H65" s="134">
        <f>IF('Employee Master'!B62="","",'Employee Master'!I62)</f>
        <v/>
      </c>
      <c r="I65" s="134">
        <f>IF('Employee Master'!B62="","",'Employee Master'!K62)</f>
        <v/>
      </c>
      <c r="J65" s="134">
        <f>IF('Employee Master'!B62="","",'Employee Master'!L62)</f>
        <v/>
      </c>
      <c r="K65" s="134">
        <f>IF('Employee Master'!B62="","",'Employee Master'!T62)</f>
        <v/>
      </c>
      <c r="L65" s="134">
        <f>IF('Employee Master'!B62="","",'Employee Master'!M62)</f>
        <v/>
      </c>
      <c r="M65" s="134">
        <f>IF('Employee Master'!B62="","",'Employee Master'!N62)</f>
        <v/>
      </c>
      <c r="N65" s="134">
        <f>IF('Employee Master'!B62="","",'Employee Master'!H62)</f>
        <v/>
      </c>
      <c r="O65" s="134">
        <f>IF('Employee Master'!B62="","",'Employee Master'!AD62)</f>
        <v/>
      </c>
    </row>
    <row r="66" ht="15" customHeight="1" s="120">
      <c r="A66" s="134">
        <f>IF('Employee Master'!B63="","",IF(AND('Employee Master'!AD63="Y",OR('Employee Master'!C63="12:15 PM",'Employee Master'!C63="2:00 PM"),'Employee Master'!E63="N"),"Y","N"))</f>
        <v/>
      </c>
      <c r="B66" s="134">
        <f>IF('Employee Master'!B63="","",'Employee Master'!B63)</f>
        <v/>
      </c>
      <c r="C66" s="134">
        <f>IF('Employee Master'!B63="","",'Employee Master'!C63)</f>
        <v/>
      </c>
      <c r="D66" s="134">
        <f>IF('Employee Master'!B63="","",'Employee Master'!E63)</f>
        <v/>
      </c>
      <c r="E66" s="134">
        <f>IF('Employee Master'!B63="","",'Employee Master'!F63)</f>
        <v/>
      </c>
      <c r="F66" s="134">
        <f>IF('Employee Master'!B63="","",'Employee Master'!P63)</f>
        <v/>
      </c>
      <c r="G66" s="134">
        <f>IF('Employee Master'!B63="","",'Employee Master'!J63)</f>
        <v/>
      </c>
      <c r="H66" s="134">
        <f>IF('Employee Master'!B63="","",'Employee Master'!I63)</f>
        <v/>
      </c>
      <c r="I66" s="134">
        <f>IF('Employee Master'!B63="","",'Employee Master'!K63)</f>
        <v/>
      </c>
      <c r="J66" s="134">
        <f>IF('Employee Master'!B63="","",'Employee Master'!L63)</f>
        <v/>
      </c>
      <c r="K66" s="134">
        <f>IF('Employee Master'!B63="","",'Employee Master'!T63)</f>
        <v/>
      </c>
      <c r="L66" s="134">
        <f>IF('Employee Master'!B63="","",'Employee Master'!M63)</f>
        <v/>
      </c>
      <c r="M66" s="134">
        <f>IF('Employee Master'!B63="","",'Employee Master'!N63)</f>
        <v/>
      </c>
      <c r="N66" s="134">
        <f>IF('Employee Master'!B63="","",'Employee Master'!H63)</f>
        <v/>
      </c>
      <c r="O66" s="134">
        <f>IF('Employee Master'!B63="","",'Employee Master'!AD63)</f>
        <v/>
      </c>
    </row>
    <row r="67" ht="15" customHeight="1" s="120">
      <c r="A67" s="134">
        <f>IF('Employee Master'!B64="","",IF(AND('Employee Master'!AD64="Y",OR('Employee Master'!C64="12:15 PM",'Employee Master'!C64="2:00 PM"),'Employee Master'!E64="N"),"Y","N"))</f>
        <v/>
      </c>
      <c r="B67" s="134">
        <f>IF('Employee Master'!B64="","",'Employee Master'!B64)</f>
        <v/>
      </c>
      <c r="C67" s="134">
        <f>IF('Employee Master'!B64="","",'Employee Master'!C64)</f>
        <v/>
      </c>
      <c r="D67" s="134">
        <f>IF('Employee Master'!B64="","",'Employee Master'!E64)</f>
        <v/>
      </c>
      <c r="E67" s="134">
        <f>IF('Employee Master'!B64="","",'Employee Master'!F64)</f>
        <v/>
      </c>
      <c r="F67" s="134">
        <f>IF('Employee Master'!B64="","",'Employee Master'!P64)</f>
        <v/>
      </c>
      <c r="G67" s="134">
        <f>IF('Employee Master'!B64="","",'Employee Master'!J64)</f>
        <v/>
      </c>
      <c r="H67" s="134">
        <f>IF('Employee Master'!B64="","",'Employee Master'!I64)</f>
        <v/>
      </c>
      <c r="I67" s="134">
        <f>IF('Employee Master'!B64="","",'Employee Master'!K64)</f>
        <v/>
      </c>
      <c r="J67" s="134">
        <f>IF('Employee Master'!B64="","",'Employee Master'!L64)</f>
        <v/>
      </c>
      <c r="K67" s="134">
        <f>IF('Employee Master'!B64="","",'Employee Master'!T64)</f>
        <v/>
      </c>
      <c r="L67" s="134">
        <f>IF('Employee Master'!B64="","",'Employee Master'!M64)</f>
        <v/>
      </c>
      <c r="M67" s="134">
        <f>IF('Employee Master'!B64="","",'Employee Master'!N64)</f>
        <v/>
      </c>
      <c r="N67" s="134">
        <f>IF('Employee Master'!B64="","",'Employee Master'!H64)</f>
        <v/>
      </c>
      <c r="O67" s="134">
        <f>IF('Employee Master'!B64="","",'Employee Master'!AD64)</f>
        <v/>
      </c>
    </row>
    <row r="68" ht="15" customHeight="1" s="120">
      <c r="A68" s="134">
        <f>IF('Employee Master'!B65="","",IF(AND('Employee Master'!AD65="Y",OR('Employee Master'!C65="12:15 PM",'Employee Master'!C65="2:00 PM"),'Employee Master'!E65="N"),"Y","N"))</f>
        <v/>
      </c>
      <c r="B68" s="134">
        <f>IF('Employee Master'!B65="","",'Employee Master'!B65)</f>
        <v/>
      </c>
      <c r="C68" s="134">
        <f>IF('Employee Master'!B65="","",'Employee Master'!C65)</f>
        <v/>
      </c>
      <c r="D68" s="134">
        <f>IF('Employee Master'!B65="","",'Employee Master'!E65)</f>
        <v/>
      </c>
      <c r="E68" s="134">
        <f>IF('Employee Master'!B65="","",'Employee Master'!F65)</f>
        <v/>
      </c>
      <c r="F68" s="134">
        <f>IF('Employee Master'!B65="","",'Employee Master'!P65)</f>
        <v/>
      </c>
      <c r="G68" s="134">
        <f>IF('Employee Master'!B65="","",'Employee Master'!J65)</f>
        <v/>
      </c>
      <c r="H68" s="134">
        <f>IF('Employee Master'!B65="","",'Employee Master'!I65)</f>
        <v/>
      </c>
      <c r="I68" s="134">
        <f>IF('Employee Master'!B65="","",'Employee Master'!K65)</f>
        <v/>
      </c>
      <c r="J68" s="134">
        <f>IF('Employee Master'!B65="","",'Employee Master'!L65)</f>
        <v/>
      </c>
      <c r="K68" s="134">
        <f>IF('Employee Master'!B65="","",'Employee Master'!T65)</f>
        <v/>
      </c>
      <c r="L68" s="134">
        <f>IF('Employee Master'!B65="","",'Employee Master'!M65)</f>
        <v/>
      </c>
      <c r="M68" s="134">
        <f>IF('Employee Master'!B65="","",'Employee Master'!N65)</f>
        <v/>
      </c>
      <c r="N68" s="134">
        <f>IF('Employee Master'!B65="","",'Employee Master'!H65)</f>
        <v/>
      </c>
      <c r="O68" s="134">
        <f>IF('Employee Master'!B65="","",'Employee Master'!AD65)</f>
        <v/>
      </c>
    </row>
    <row r="69" ht="15" customHeight="1" s="120">
      <c r="A69" s="134">
        <f>IF('Employee Master'!B66="","",IF(AND('Employee Master'!AD66="Y",OR('Employee Master'!C66="12:15 PM",'Employee Master'!C66="2:00 PM"),'Employee Master'!E66="N"),"Y","N"))</f>
        <v/>
      </c>
      <c r="B69" s="134">
        <f>IF('Employee Master'!B66="","",'Employee Master'!B66)</f>
        <v/>
      </c>
      <c r="C69" s="134">
        <f>IF('Employee Master'!B66="","",'Employee Master'!C66)</f>
        <v/>
      </c>
      <c r="D69" s="134">
        <f>IF('Employee Master'!B66="","",'Employee Master'!E66)</f>
        <v/>
      </c>
      <c r="E69" s="134">
        <f>IF('Employee Master'!B66="","",'Employee Master'!F66)</f>
        <v/>
      </c>
      <c r="F69" s="134">
        <f>IF('Employee Master'!B66="","",'Employee Master'!P66)</f>
        <v/>
      </c>
      <c r="G69" s="134">
        <f>IF('Employee Master'!B66="","",'Employee Master'!J66)</f>
        <v/>
      </c>
      <c r="H69" s="134">
        <f>IF('Employee Master'!B66="","",'Employee Master'!I66)</f>
        <v/>
      </c>
      <c r="I69" s="134">
        <f>IF('Employee Master'!B66="","",'Employee Master'!K66)</f>
        <v/>
      </c>
      <c r="J69" s="134">
        <f>IF('Employee Master'!B66="","",'Employee Master'!L66)</f>
        <v/>
      </c>
      <c r="K69" s="134">
        <f>IF('Employee Master'!B66="","",'Employee Master'!T66)</f>
        <v/>
      </c>
      <c r="L69" s="134">
        <f>IF('Employee Master'!B66="","",'Employee Master'!M66)</f>
        <v/>
      </c>
      <c r="M69" s="134">
        <f>IF('Employee Master'!B66="","",'Employee Master'!N66)</f>
        <v/>
      </c>
      <c r="N69" s="134">
        <f>IF('Employee Master'!B66="","",'Employee Master'!H66)</f>
        <v/>
      </c>
      <c r="O69" s="134">
        <f>IF('Employee Master'!B66="","",'Employee Master'!AD66)</f>
        <v/>
      </c>
    </row>
    <row r="70" ht="15" customHeight="1" s="120">
      <c r="A70" s="134">
        <f>IF('Employee Master'!B67="","",IF(AND('Employee Master'!AD67="Y",OR('Employee Master'!C67="12:15 PM",'Employee Master'!C67="2:00 PM"),'Employee Master'!E67="N"),"Y","N"))</f>
        <v/>
      </c>
      <c r="B70" s="134">
        <f>IF('Employee Master'!B67="","",'Employee Master'!B67)</f>
        <v/>
      </c>
      <c r="C70" s="134">
        <f>IF('Employee Master'!B67="","",'Employee Master'!C67)</f>
        <v/>
      </c>
      <c r="D70" s="134">
        <f>IF('Employee Master'!B67="","",'Employee Master'!E67)</f>
        <v/>
      </c>
      <c r="E70" s="134">
        <f>IF('Employee Master'!B67="","",'Employee Master'!F67)</f>
        <v/>
      </c>
      <c r="F70" s="134">
        <f>IF('Employee Master'!B67="","",'Employee Master'!P67)</f>
        <v/>
      </c>
      <c r="G70" s="134">
        <f>IF('Employee Master'!B67="","",'Employee Master'!J67)</f>
        <v/>
      </c>
      <c r="H70" s="134">
        <f>IF('Employee Master'!B67="","",'Employee Master'!I67)</f>
        <v/>
      </c>
      <c r="I70" s="134">
        <f>IF('Employee Master'!B67="","",'Employee Master'!K67)</f>
        <v/>
      </c>
      <c r="J70" s="134">
        <f>IF('Employee Master'!B67="","",'Employee Master'!L67)</f>
        <v/>
      </c>
      <c r="K70" s="134">
        <f>IF('Employee Master'!B67="","",'Employee Master'!T67)</f>
        <v/>
      </c>
      <c r="L70" s="134">
        <f>IF('Employee Master'!B67="","",'Employee Master'!M67)</f>
        <v/>
      </c>
      <c r="M70" s="134">
        <f>IF('Employee Master'!B67="","",'Employee Master'!N67)</f>
        <v/>
      </c>
      <c r="N70" s="134">
        <f>IF('Employee Master'!B67="","",'Employee Master'!H67)</f>
        <v/>
      </c>
      <c r="O70" s="134">
        <f>IF('Employee Master'!B67="","",'Employee Master'!AD67)</f>
        <v/>
      </c>
    </row>
    <row r="71" ht="15" customHeight="1" s="120">
      <c r="A71" s="134">
        <f>IF('Employee Master'!B68="","",IF(AND('Employee Master'!AD68="Y",OR('Employee Master'!C68="12:15 PM",'Employee Master'!C68="2:00 PM"),'Employee Master'!E68="N"),"Y","N"))</f>
        <v/>
      </c>
      <c r="B71" s="134">
        <f>IF('Employee Master'!B68="","",'Employee Master'!B68)</f>
        <v/>
      </c>
      <c r="C71" s="134">
        <f>IF('Employee Master'!B68="","",'Employee Master'!C68)</f>
        <v/>
      </c>
      <c r="D71" s="134">
        <f>IF('Employee Master'!B68="","",'Employee Master'!E68)</f>
        <v/>
      </c>
      <c r="E71" s="134">
        <f>IF('Employee Master'!B68="","",'Employee Master'!F68)</f>
        <v/>
      </c>
      <c r="F71" s="134">
        <f>IF('Employee Master'!B68="","",'Employee Master'!P68)</f>
        <v/>
      </c>
      <c r="G71" s="134">
        <f>IF('Employee Master'!B68="","",'Employee Master'!J68)</f>
        <v/>
      </c>
      <c r="H71" s="134">
        <f>IF('Employee Master'!B68="","",'Employee Master'!I68)</f>
        <v/>
      </c>
      <c r="I71" s="134">
        <f>IF('Employee Master'!B68="","",'Employee Master'!K68)</f>
        <v/>
      </c>
      <c r="J71" s="134">
        <f>IF('Employee Master'!B68="","",'Employee Master'!L68)</f>
        <v/>
      </c>
      <c r="K71" s="134">
        <f>IF('Employee Master'!B68="","",'Employee Master'!T68)</f>
        <v/>
      </c>
      <c r="L71" s="134">
        <f>IF('Employee Master'!B68="","",'Employee Master'!M68)</f>
        <v/>
      </c>
      <c r="M71" s="134">
        <f>IF('Employee Master'!B68="","",'Employee Master'!N68)</f>
        <v/>
      </c>
      <c r="N71" s="134">
        <f>IF('Employee Master'!B68="","",'Employee Master'!H68)</f>
        <v/>
      </c>
      <c r="O71" s="134">
        <f>IF('Employee Master'!B68="","",'Employee Master'!AD68)</f>
        <v/>
      </c>
    </row>
    <row r="72" ht="15" customHeight="1" s="120">
      <c r="A72" s="134">
        <f>IF('Employee Master'!B69="","",IF(AND('Employee Master'!AD69="Y",OR('Employee Master'!C69="12:15 PM",'Employee Master'!C69="2:00 PM"),'Employee Master'!E69="N"),"Y","N"))</f>
        <v/>
      </c>
      <c r="B72" s="134">
        <f>IF('Employee Master'!B69="","",'Employee Master'!B69)</f>
        <v/>
      </c>
      <c r="C72" s="134">
        <f>IF('Employee Master'!B69="","",'Employee Master'!C69)</f>
        <v/>
      </c>
      <c r="D72" s="134">
        <f>IF('Employee Master'!B69="","",'Employee Master'!E69)</f>
        <v/>
      </c>
      <c r="E72" s="134">
        <f>IF('Employee Master'!B69="","",'Employee Master'!F69)</f>
        <v/>
      </c>
      <c r="F72" s="134">
        <f>IF('Employee Master'!B69="","",'Employee Master'!P69)</f>
        <v/>
      </c>
      <c r="G72" s="134">
        <f>IF('Employee Master'!B69="","",'Employee Master'!J69)</f>
        <v/>
      </c>
      <c r="H72" s="134">
        <f>IF('Employee Master'!B69="","",'Employee Master'!I69)</f>
        <v/>
      </c>
      <c r="I72" s="134">
        <f>IF('Employee Master'!B69="","",'Employee Master'!K69)</f>
        <v/>
      </c>
      <c r="J72" s="134">
        <f>IF('Employee Master'!B69="","",'Employee Master'!L69)</f>
        <v/>
      </c>
      <c r="K72" s="134">
        <f>IF('Employee Master'!B69="","",'Employee Master'!T69)</f>
        <v/>
      </c>
      <c r="L72" s="134">
        <f>IF('Employee Master'!B69="","",'Employee Master'!M69)</f>
        <v/>
      </c>
      <c r="M72" s="134">
        <f>IF('Employee Master'!B69="","",'Employee Master'!N69)</f>
        <v/>
      </c>
      <c r="N72" s="134">
        <f>IF('Employee Master'!B69="","",'Employee Master'!H69)</f>
        <v/>
      </c>
      <c r="O72" s="134">
        <f>IF('Employee Master'!B69="","",'Employee Master'!AD69)</f>
        <v/>
      </c>
    </row>
    <row r="73" ht="15" customHeight="1" s="120">
      <c r="A73" s="134">
        <f>IF('Employee Master'!B70="","",IF(AND('Employee Master'!AD70="Y",OR('Employee Master'!C70="12:15 PM",'Employee Master'!C70="2:00 PM"),'Employee Master'!E70="N"),"Y","N"))</f>
        <v/>
      </c>
      <c r="B73" s="134">
        <f>IF('Employee Master'!B70="","",'Employee Master'!B70)</f>
        <v/>
      </c>
      <c r="C73" s="134">
        <f>IF('Employee Master'!B70="","",'Employee Master'!C70)</f>
        <v/>
      </c>
      <c r="D73" s="134">
        <f>IF('Employee Master'!B70="","",'Employee Master'!E70)</f>
        <v/>
      </c>
      <c r="E73" s="134">
        <f>IF('Employee Master'!B70="","",'Employee Master'!F70)</f>
        <v/>
      </c>
      <c r="F73" s="134">
        <f>IF('Employee Master'!B70="","",'Employee Master'!P70)</f>
        <v/>
      </c>
      <c r="G73" s="134">
        <f>IF('Employee Master'!B70="","",'Employee Master'!J70)</f>
        <v/>
      </c>
      <c r="H73" s="134">
        <f>IF('Employee Master'!B70="","",'Employee Master'!I70)</f>
        <v/>
      </c>
      <c r="I73" s="134">
        <f>IF('Employee Master'!B70="","",'Employee Master'!K70)</f>
        <v/>
      </c>
      <c r="J73" s="134">
        <f>IF('Employee Master'!B70="","",'Employee Master'!L70)</f>
        <v/>
      </c>
      <c r="K73" s="134">
        <f>IF('Employee Master'!B70="","",'Employee Master'!T70)</f>
        <v/>
      </c>
      <c r="L73" s="134">
        <f>IF('Employee Master'!B70="","",'Employee Master'!M70)</f>
        <v/>
      </c>
      <c r="M73" s="134">
        <f>IF('Employee Master'!B70="","",'Employee Master'!N70)</f>
        <v/>
      </c>
      <c r="N73" s="134">
        <f>IF('Employee Master'!B70="","",'Employee Master'!H70)</f>
        <v/>
      </c>
      <c r="O73" s="134">
        <f>IF('Employee Master'!B70="","",'Employee Master'!AD70)</f>
        <v/>
      </c>
    </row>
    <row r="74" ht="15" customHeight="1" s="120">
      <c r="A74" s="134">
        <f>IF('Employee Master'!B71="","",IF(AND('Employee Master'!AD71="Y",OR('Employee Master'!C71="12:15 PM",'Employee Master'!C71="2:00 PM"),'Employee Master'!E71="N"),"Y","N"))</f>
        <v/>
      </c>
      <c r="B74" s="134">
        <f>IF('Employee Master'!B71="","",'Employee Master'!B71)</f>
        <v/>
      </c>
      <c r="C74" s="134">
        <f>IF('Employee Master'!B71="","",'Employee Master'!C71)</f>
        <v/>
      </c>
      <c r="D74" s="134">
        <f>IF('Employee Master'!B71="","",'Employee Master'!E71)</f>
        <v/>
      </c>
      <c r="E74" s="134">
        <f>IF('Employee Master'!B71="","",'Employee Master'!F71)</f>
        <v/>
      </c>
      <c r="F74" s="134">
        <f>IF('Employee Master'!B71="","",'Employee Master'!P71)</f>
        <v/>
      </c>
      <c r="G74" s="134">
        <f>IF('Employee Master'!B71="","",'Employee Master'!J71)</f>
        <v/>
      </c>
      <c r="H74" s="134">
        <f>IF('Employee Master'!B71="","",'Employee Master'!I71)</f>
        <v/>
      </c>
      <c r="I74" s="134">
        <f>IF('Employee Master'!B71="","",'Employee Master'!K71)</f>
        <v/>
      </c>
      <c r="J74" s="134">
        <f>IF('Employee Master'!B71="","",'Employee Master'!L71)</f>
        <v/>
      </c>
      <c r="K74" s="134">
        <f>IF('Employee Master'!B71="","",'Employee Master'!T71)</f>
        <v/>
      </c>
      <c r="L74" s="134">
        <f>IF('Employee Master'!B71="","",'Employee Master'!M71)</f>
        <v/>
      </c>
      <c r="M74" s="134">
        <f>IF('Employee Master'!B71="","",'Employee Master'!N71)</f>
        <v/>
      </c>
      <c r="N74" s="134">
        <f>IF('Employee Master'!B71="","",'Employee Master'!H71)</f>
        <v/>
      </c>
      <c r="O74" s="134">
        <f>IF('Employee Master'!B71="","",'Employee Master'!AD71)</f>
        <v/>
      </c>
    </row>
    <row r="75" ht="15" customHeight="1" s="120">
      <c r="A75" s="134">
        <f>IF('Employee Master'!B72="","",IF(AND('Employee Master'!AD72="Y",OR('Employee Master'!C72="12:15 PM",'Employee Master'!C72="2:00 PM"),'Employee Master'!E72="N"),"Y","N"))</f>
        <v/>
      </c>
      <c r="B75" s="134">
        <f>IF('Employee Master'!B72="","",'Employee Master'!B72)</f>
        <v/>
      </c>
      <c r="C75" s="134">
        <f>IF('Employee Master'!B72="","",'Employee Master'!C72)</f>
        <v/>
      </c>
      <c r="D75" s="134">
        <f>IF('Employee Master'!B72="","",'Employee Master'!E72)</f>
        <v/>
      </c>
      <c r="E75" s="134">
        <f>IF('Employee Master'!B72="","",'Employee Master'!F72)</f>
        <v/>
      </c>
      <c r="F75" s="134">
        <f>IF('Employee Master'!B72="","",'Employee Master'!P72)</f>
        <v/>
      </c>
      <c r="G75" s="134">
        <f>IF('Employee Master'!B72="","",'Employee Master'!J72)</f>
        <v/>
      </c>
      <c r="H75" s="134">
        <f>IF('Employee Master'!B72="","",'Employee Master'!I72)</f>
        <v/>
      </c>
      <c r="I75" s="134">
        <f>IF('Employee Master'!B72="","",'Employee Master'!K72)</f>
        <v/>
      </c>
      <c r="J75" s="134">
        <f>IF('Employee Master'!B72="","",'Employee Master'!L72)</f>
        <v/>
      </c>
      <c r="K75" s="134">
        <f>IF('Employee Master'!B72="","",'Employee Master'!T72)</f>
        <v/>
      </c>
      <c r="L75" s="134">
        <f>IF('Employee Master'!B72="","",'Employee Master'!M72)</f>
        <v/>
      </c>
      <c r="M75" s="134">
        <f>IF('Employee Master'!B72="","",'Employee Master'!N72)</f>
        <v/>
      </c>
      <c r="N75" s="134">
        <f>IF('Employee Master'!B72="","",'Employee Master'!H72)</f>
        <v/>
      </c>
      <c r="O75" s="134">
        <f>IF('Employee Master'!B72="","",'Employee Master'!AD72)</f>
        <v/>
      </c>
    </row>
    <row r="76" ht="15" customHeight="1" s="120">
      <c r="A76" s="134">
        <f>IF('Employee Master'!B73="","",IF(AND('Employee Master'!AD73="Y",OR('Employee Master'!C73="12:15 PM",'Employee Master'!C73="2:00 PM"),'Employee Master'!E73="N"),"Y","N"))</f>
        <v/>
      </c>
      <c r="B76" s="134">
        <f>IF('Employee Master'!B73="","",'Employee Master'!B73)</f>
        <v/>
      </c>
      <c r="C76" s="134">
        <f>IF('Employee Master'!B73="","",'Employee Master'!C73)</f>
        <v/>
      </c>
      <c r="D76" s="134">
        <f>IF('Employee Master'!B73="","",'Employee Master'!E73)</f>
        <v/>
      </c>
      <c r="E76" s="134">
        <f>IF('Employee Master'!B73="","",'Employee Master'!F73)</f>
        <v/>
      </c>
      <c r="F76" s="134">
        <f>IF('Employee Master'!B73="","",'Employee Master'!P73)</f>
        <v/>
      </c>
      <c r="G76" s="134">
        <f>IF('Employee Master'!B73="","",'Employee Master'!J73)</f>
        <v/>
      </c>
      <c r="H76" s="134">
        <f>IF('Employee Master'!B73="","",'Employee Master'!I73)</f>
        <v/>
      </c>
      <c r="I76" s="134">
        <f>IF('Employee Master'!B73="","",'Employee Master'!K73)</f>
        <v/>
      </c>
      <c r="J76" s="134">
        <f>IF('Employee Master'!B73="","",'Employee Master'!L73)</f>
        <v/>
      </c>
      <c r="K76" s="134">
        <f>IF('Employee Master'!B73="","",'Employee Master'!T73)</f>
        <v/>
      </c>
      <c r="L76" s="134">
        <f>IF('Employee Master'!B73="","",'Employee Master'!M73)</f>
        <v/>
      </c>
      <c r="M76" s="134">
        <f>IF('Employee Master'!B73="","",'Employee Master'!N73)</f>
        <v/>
      </c>
      <c r="N76" s="134">
        <f>IF('Employee Master'!B73="","",'Employee Master'!H73)</f>
        <v/>
      </c>
      <c r="O76" s="134">
        <f>IF('Employee Master'!B73="","",'Employee Master'!AD73)</f>
        <v/>
      </c>
    </row>
    <row r="77" ht="15" customHeight="1" s="120">
      <c r="A77" s="134">
        <f>IF('Employee Master'!B74="","",IF(AND('Employee Master'!AD74="Y",OR('Employee Master'!C74="12:15 PM",'Employee Master'!C74="2:00 PM"),'Employee Master'!E74="N"),"Y","N"))</f>
        <v/>
      </c>
      <c r="B77" s="134">
        <f>IF('Employee Master'!B74="","",'Employee Master'!B74)</f>
        <v/>
      </c>
      <c r="C77" s="134">
        <f>IF('Employee Master'!B74="","",'Employee Master'!C74)</f>
        <v/>
      </c>
      <c r="D77" s="134">
        <f>IF('Employee Master'!B74="","",'Employee Master'!E74)</f>
        <v/>
      </c>
      <c r="E77" s="134">
        <f>IF('Employee Master'!B74="","",'Employee Master'!F74)</f>
        <v/>
      </c>
      <c r="F77" s="134">
        <f>IF('Employee Master'!B74="","",'Employee Master'!P74)</f>
        <v/>
      </c>
      <c r="G77" s="134">
        <f>IF('Employee Master'!B74="","",'Employee Master'!J74)</f>
        <v/>
      </c>
      <c r="H77" s="134">
        <f>IF('Employee Master'!B74="","",'Employee Master'!I74)</f>
        <v/>
      </c>
      <c r="I77" s="134">
        <f>IF('Employee Master'!B74="","",'Employee Master'!K74)</f>
        <v/>
      </c>
      <c r="J77" s="134">
        <f>IF('Employee Master'!B74="","",'Employee Master'!L74)</f>
        <v/>
      </c>
      <c r="K77" s="134">
        <f>IF('Employee Master'!B74="","",'Employee Master'!T74)</f>
        <v/>
      </c>
      <c r="L77" s="134">
        <f>IF('Employee Master'!B74="","",'Employee Master'!M74)</f>
        <v/>
      </c>
      <c r="M77" s="134">
        <f>IF('Employee Master'!B74="","",'Employee Master'!N74)</f>
        <v/>
      </c>
      <c r="N77" s="134">
        <f>IF('Employee Master'!B74="","",'Employee Master'!H74)</f>
        <v/>
      </c>
      <c r="O77" s="134">
        <f>IF('Employee Master'!B74="","",'Employee Master'!AD74)</f>
        <v/>
      </c>
    </row>
    <row r="78" ht="15" customHeight="1" s="120">
      <c r="A78" s="134">
        <f>IF('Employee Master'!B75="","",IF(AND('Employee Master'!AD75="Y",OR('Employee Master'!C75="12:15 PM",'Employee Master'!C75="2:00 PM"),'Employee Master'!E75="N"),"Y","N"))</f>
        <v/>
      </c>
      <c r="B78" s="134">
        <f>IF('Employee Master'!B75="","",'Employee Master'!B75)</f>
        <v/>
      </c>
      <c r="C78" s="134">
        <f>IF('Employee Master'!B75="","",'Employee Master'!C75)</f>
        <v/>
      </c>
      <c r="D78" s="134">
        <f>IF('Employee Master'!B75="","",'Employee Master'!E75)</f>
        <v/>
      </c>
      <c r="E78" s="134">
        <f>IF('Employee Master'!B75="","",'Employee Master'!F75)</f>
        <v/>
      </c>
      <c r="F78" s="134">
        <f>IF('Employee Master'!B75="","",'Employee Master'!P75)</f>
        <v/>
      </c>
      <c r="G78" s="134">
        <f>IF('Employee Master'!B75="","",'Employee Master'!J75)</f>
        <v/>
      </c>
      <c r="H78" s="134">
        <f>IF('Employee Master'!B75="","",'Employee Master'!I75)</f>
        <v/>
      </c>
      <c r="I78" s="134">
        <f>IF('Employee Master'!B75="","",'Employee Master'!K75)</f>
        <v/>
      </c>
      <c r="J78" s="134">
        <f>IF('Employee Master'!B75="","",'Employee Master'!L75)</f>
        <v/>
      </c>
      <c r="K78" s="134">
        <f>IF('Employee Master'!B75="","",'Employee Master'!T75)</f>
        <v/>
      </c>
      <c r="L78" s="134">
        <f>IF('Employee Master'!B75="","",'Employee Master'!M75)</f>
        <v/>
      </c>
      <c r="M78" s="134">
        <f>IF('Employee Master'!B75="","",'Employee Master'!N75)</f>
        <v/>
      </c>
      <c r="N78" s="134">
        <f>IF('Employee Master'!B75="","",'Employee Master'!H75)</f>
        <v/>
      </c>
      <c r="O78" s="134">
        <f>IF('Employee Master'!B75="","",'Employee Master'!AD75)</f>
        <v/>
      </c>
    </row>
    <row r="79" ht="15" customHeight="1" s="120">
      <c r="A79" s="134">
        <f>IF('Employee Master'!B76="","",IF(AND('Employee Master'!AD76="Y",OR('Employee Master'!C76="12:15 PM",'Employee Master'!C76="2:00 PM"),'Employee Master'!E76="N"),"Y","N"))</f>
        <v/>
      </c>
      <c r="B79" s="134">
        <f>IF('Employee Master'!B76="","",'Employee Master'!B76)</f>
        <v/>
      </c>
      <c r="C79" s="134">
        <f>IF('Employee Master'!B76="","",'Employee Master'!C76)</f>
        <v/>
      </c>
      <c r="D79" s="134">
        <f>IF('Employee Master'!B76="","",'Employee Master'!E76)</f>
        <v/>
      </c>
      <c r="E79" s="134">
        <f>IF('Employee Master'!B76="","",'Employee Master'!F76)</f>
        <v/>
      </c>
      <c r="F79" s="134">
        <f>IF('Employee Master'!B76="","",'Employee Master'!P76)</f>
        <v/>
      </c>
      <c r="G79" s="134">
        <f>IF('Employee Master'!B76="","",'Employee Master'!J76)</f>
        <v/>
      </c>
      <c r="H79" s="134">
        <f>IF('Employee Master'!B76="","",'Employee Master'!I76)</f>
        <v/>
      </c>
      <c r="I79" s="134">
        <f>IF('Employee Master'!B76="","",'Employee Master'!K76)</f>
        <v/>
      </c>
      <c r="J79" s="134">
        <f>IF('Employee Master'!B76="","",'Employee Master'!L76)</f>
        <v/>
      </c>
      <c r="K79" s="134">
        <f>IF('Employee Master'!B76="","",'Employee Master'!T76)</f>
        <v/>
      </c>
      <c r="L79" s="134">
        <f>IF('Employee Master'!B76="","",'Employee Master'!M76)</f>
        <v/>
      </c>
      <c r="M79" s="134">
        <f>IF('Employee Master'!B76="","",'Employee Master'!N76)</f>
        <v/>
      </c>
      <c r="N79" s="134">
        <f>IF('Employee Master'!B76="","",'Employee Master'!H76)</f>
        <v/>
      </c>
      <c r="O79" s="134">
        <f>IF('Employee Master'!B76="","",'Employee Master'!AD76)</f>
        <v/>
      </c>
    </row>
    <row r="80" ht="15" customHeight="1" s="120">
      <c r="A80" s="134">
        <f>IF('Employee Master'!B77="","",IF(AND('Employee Master'!AD77="Y",OR('Employee Master'!C77="12:15 PM",'Employee Master'!C77="2:00 PM"),'Employee Master'!E77="N"),"Y","N"))</f>
        <v/>
      </c>
      <c r="B80" s="134">
        <f>IF('Employee Master'!B77="","",'Employee Master'!B77)</f>
        <v/>
      </c>
      <c r="C80" s="134">
        <f>IF('Employee Master'!B77="","",'Employee Master'!C77)</f>
        <v/>
      </c>
      <c r="D80" s="134">
        <f>IF('Employee Master'!B77="","",'Employee Master'!E77)</f>
        <v/>
      </c>
      <c r="E80" s="134">
        <f>IF('Employee Master'!B77="","",'Employee Master'!F77)</f>
        <v/>
      </c>
      <c r="F80" s="134">
        <f>IF('Employee Master'!B77="","",'Employee Master'!P77)</f>
        <v/>
      </c>
      <c r="G80" s="134">
        <f>IF('Employee Master'!B77="","",'Employee Master'!J77)</f>
        <v/>
      </c>
      <c r="H80" s="134">
        <f>IF('Employee Master'!B77="","",'Employee Master'!I77)</f>
        <v/>
      </c>
      <c r="I80" s="134">
        <f>IF('Employee Master'!B77="","",'Employee Master'!K77)</f>
        <v/>
      </c>
      <c r="J80" s="134">
        <f>IF('Employee Master'!B77="","",'Employee Master'!L77)</f>
        <v/>
      </c>
      <c r="K80" s="134">
        <f>IF('Employee Master'!B77="","",'Employee Master'!T77)</f>
        <v/>
      </c>
      <c r="L80" s="134">
        <f>IF('Employee Master'!B77="","",'Employee Master'!M77)</f>
        <v/>
      </c>
      <c r="M80" s="134">
        <f>IF('Employee Master'!B77="","",'Employee Master'!N77)</f>
        <v/>
      </c>
      <c r="N80" s="134">
        <f>IF('Employee Master'!B77="","",'Employee Master'!H77)</f>
        <v/>
      </c>
      <c r="O80" s="134">
        <f>IF('Employee Master'!B77="","",'Employee Master'!AD77)</f>
        <v/>
      </c>
    </row>
    <row r="81" ht="15" customHeight="1" s="120">
      <c r="A81" s="134">
        <f>IF('Employee Master'!B78="","",IF(AND('Employee Master'!AD78="Y",OR('Employee Master'!C78="12:15 PM",'Employee Master'!C78="2:00 PM"),'Employee Master'!E78="N"),"Y","N"))</f>
        <v/>
      </c>
      <c r="B81" s="134">
        <f>IF('Employee Master'!B78="","",'Employee Master'!B78)</f>
        <v/>
      </c>
      <c r="C81" s="134">
        <f>IF('Employee Master'!B78="","",'Employee Master'!C78)</f>
        <v/>
      </c>
      <c r="D81" s="134">
        <f>IF('Employee Master'!B78="","",'Employee Master'!E78)</f>
        <v/>
      </c>
      <c r="E81" s="134">
        <f>IF('Employee Master'!B78="","",'Employee Master'!F78)</f>
        <v/>
      </c>
      <c r="F81" s="134">
        <f>IF('Employee Master'!B78="","",'Employee Master'!P78)</f>
        <v/>
      </c>
      <c r="G81" s="134">
        <f>IF('Employee Master'!B78="","",'Employee Master'!J78)</f>
        <v/>
      </c>
      <c r="H81" s="134">
        <f>IF('Employee Master'!B78="","",'Employee Master'!I78)</f>
        <v/>
      </c>
      <c r="I81" s="134">
        <f>IF('Employee Master'!B78="","",'Employee Master'!K78)</f>
        <v/>
      </c>
      <c r="J81" s="134">
        <f>IF('Employee Master'!B78="","",'Employee Master'!L78)</f>
        <v/>
      </c>
      <c r="K81" s="134">
        <f>IF('Employee Master'!B78="","",'Employee Master'!T78)</f>
        <v/>
      </c>
      <c r="L81" s="134">
        <f>IF('Employee Master'!B78="","",'Employee Master'!M78)</f>
        <v/>
      </c>
      <c r="M81" s="134">
        <f>IF('Employee Master'!B78="","",'Employee Master'!N78)</f>
        <v/>
      </c>
      <c r="N81" s="134">
        <f>IF('Employee Master'!B78="","",'Employee Master'!H78)</f>
        <v/>
      </c>
      <c r="O81" s="134">
        <f>IF('Employee Master'!B78="","",'Employee Master'!AD78)</f>
        <v/>
      </c>
    </row>
    <row r="82" ht="15" customHeight="1" s="120">
      <c r="A82" s="134">
        <f>IF('Employee Master'!B79="","",IF(AND('Employee Master'!AD79="Y",OR('Employee Master'!C79="12:15 PM",'Employee Master'!C79="2:00 PM"),'Employee Master'!E79="N"),"Y","N"))</f>
        <v/>
      </c>
      <c r="B82" s="134">
        <f>IF('Employee Master'!B79="","",'Employee Master'!B79)</f>
        <v/>
      </c>
      <c r="C82" s="134">
        <f>IF('Employee Master'!B79="","",'Employee Master'!C79)</f>
        <v/>
      </c>
      <c r="D82" s="134">
        <f>IF('Employee Master'!B79="","",'Employee Master'!E79)</f>
        <v/>
      </c>
      <c r="E82" s="134">
        <f>IF('Employee Master'!B79="","",'Employee Master'!F79)</f>
        <v/>
      </c>
      <c r="F82" s="134">
        <f>IF('Employee Master'!B79="","",'Employee Master'!P79)</f>
        <v/>
      </c>
      <c r="G82" s="134">
        <f>IF('Employee Master'!B79="","",'Employee Master'!J79)</f>
        <v/>
      </c>
      <c r="H82" s="134">
        <f>IF('Employee Master'!B79="","",'Employee Master'!I79)</f>
        <v/>
      </c>
      <c r="I82" s="134">
        <f>IF('Employee Master'!B79="","",'Employee Master'!K79)</f>
        <v/>
      </c>
      <c r="J82" s="134">
        <f>IF('Employee Master'!B79="","",'Employee Master'!L79)</f>
        <v/>
      </c>
      <c r="K82" s="134">
        <f>IF('Employee Master'!B79="","",'Employee Master'!T79)</f>
        <v/>
      </c>
      <c r="L82" s="134">
        <f>IF('Employee Master'!B79="","",'Employee Master'!M79)</f>
        <v/>
      </c>
      <c r="M82" s="134">
        <f>IF('Employee Master'!B79="","",'Employee Master'!N79)</f>
        <v/>
      </c>
      <c r="N82" s="134">
        <f>IF('Employee Master'!B79="","",'Employee Master'!H79)</f>
        <v/>
      </c>
      <c r="O82" s="134">
        <f>IF('Employee Master'!B79="","",'Employee Master'!AD79)</f>
        <v/>
      </c>
    </row>
    <row r="83" ht="15" customHeight="1" s="120">
      <c r="A83" s="134">
        <f>IF('Employee Master'!B80="","",IF(AND('Employee Master'!AD80="Y",OR('Employee Master'!C80="12:15 PM",'Employee Master'!C80="2:00 PM"),'Employee Master'!E80="N"),"Y","N"))</f>
        <v/>
      </c>
      <c r="B83" s="134">
        <f>IF('Employee Master'!B80="","",'Employee Master'!B80)</f>
        <v/>
      </c>
      <c r="C83" s="134">
        <f>IF('Employee Master'!B80="","",'Employee Master'!C80)</f>
        <v/>
      </c>
      <c r="D83" s="134">
        <f>IF('Employee Master'!B80="","",'Employee Master'!E80)</f>
        <v/>
      </c>
      <c r="E83" s="134">
        <f>IF('Employee Master'!B80="","",'Employee Master'!F80)</f>
        <v/>
      </c>
      <c r="F83" s="134">
        <f>IF('Employee Master'!B80="","",'Employee Master'!P80)</f>
        <v/>
      </c>
      <c r="G83" s="134">
        <f>IF('Employee Master'!B80="","",'Employee Master'!J80)</f>
        <v/>
      </c>
      <c r="H83" s="134">
        <f>IF('Employee Master'!B80="","",'Employee Master'!I80)</f>
        <v/>
      </c>
      <c r="I83" s="134">
        <f>IF('Employee Master'!B80="","",'Employee Master'!K80)</f>
        <v/>
      </c>
      <c r="J83" s="134">
        <f>IF('Employee Master'!B80="","",'Employee Master'!L80)</f>
        <v/>
      </c>
      <c r="K83" s="134">
        <f>IF('Employee Master'!B80="","",'Employee Master'!T80)</f>
        <v/>
      </c>
      <c r="L83" s="134">
        <f>IF('Employee Master'!B80="","",'Employee Master'!M80)</f>
        <v/>
      </c>
      <c r="M83" s="134">
        <f>IF('Employee Master'!B80="","",'Employee Master'!N80)</f>
        <v/>
      </c>
      <c r="N83" s="134">
        <f>IF('Employee Master'!B80="","",'Employee Master'!H80)</f>
        <v/>
      </c>
      <c r="O83" s="134">
        <f>IF('Employee Master'!B80="","",'Employee Master'!AD80)</f>
        <v/>
      </c>
    </row>
    <row r="84" ht="15" customHeight="1" s="120">
      <c r="A84" s="134">
        <f>IF('Employee Master'!B81="","",IF(AND('Employee Master'!AD81="Y",OR('Employee Master'!C81="12:15 PM",'Employee Master'!C81="2:00 PM"),'Employee Master'!E81="N"),"Y","N"))</f>
        <v/>
      </c>
      <c r="B84" s="134">
        <f>IF('Employee Master'!B81="","",'Employee Master'!B81)</f>
        <v/>
      </c>
      <c r="C84" s="134">
        <f>IF('Employee Master'!B81="","",'Employee Master'!C81)</f>
        <v/>
      </c>
      <c r="D84" s="134">
        <f>IF('Employee Master'!B81="","",'Employee Master'!E81)</f>
        <v/>
      </c>
      <c r="E84" s="134">
        <f>IF('Employee Master'!B81="","",'Employee Master'!F81)</f>
        <v/>
      </c>
      <c r="F84" s="134">
        <f>IF('Employee Master'!B81="","",'Employee Master'!P81)</f>
        <v/>
      </c>
      <c r="G84" s="134">
        <f>IF('Employee Master'!B81="","",'Employee Master'!J81)</f>
        <v/>
      </c>
      <c r="H84" s="134">
        <f>IF('Employee Master'!B81="","",'Employee Master'!I81)</f>
        <v/>
      </c>
      <c r="I84" s="134">
        <f>IF('Employee Master'!B81="","",'Employee Master'!K81)</f>
        <v/>
      </c>
      <c r="J84" s="134">
        <f>IF('Employee Master'!B81="","",'Employee Master'!L81)</f>
        <v/>
      </c>
      <c r="K84" s="134">
        <f>IF('Employee Master'!B81="","",'Employee Master'!T81)</f>
        <v/>
      </c>
      <c r="L84" s="134">
        <f>IF('Employee Master'!B81="","",'Employee Master'!M81)</f>
        <v/>
      </c>
      <c r="M84" s="134">
        <f>IF('Employee Master'!B81="","",'Employee Master'!N81)</f>
        <v/>
      </c>
      <c r="N84" s="134">
        <f>IF('Employee Master'!B81="","",'Employee Master'!H81)</f>
        <v/>
      </c>
      <c r="O84" s="134">
        <f>IF('Employee Master'!B81="","",'Employee Master'!AD81)</f>
        <v/>
      </c>
    </row>
    <row r="85" ht="15" customHeight="1" s="120">
      <c r="A85" s="134">
        <f>IF('Employee Master'!B82="","",IF(AND('Employee Master'!AD82="Y",OR('Employee Master'!C82="12:15 PM",'Employee Master'!C82="2:00 PM"),'Employee Master'!E82="N"),"Y","N"))</f>
        <v/>
      </c>
      <c r="B85" s="134">
        <f>IF('Employee Master'!B82="","",'Employee Master'!B82)</f>
        <v/>
      </c>
      <c r="C85" s="134">
        <f>IF('Employee Master'!B82="","",'Employee Master'!C82)</f>
        <v/>
      </c>
      <c r="D85" s="134">
        <f>IF('Employee Master'!B82="","",'Employee Master'!E82)</f>
        <v/>
      </c>
      <c r="E85" s="134">
        <f>IF('Employee Master'!B82="","",'Employee Master'!F82)</f>
        <v/>
      </c>
      <c r="F85" s="134">
        <f>IF('Employee Master'!B82="","",'Employee Master'!P82)</f>
        <v/>
      </c>
      <c r="G85" s="134">
        <f>IF('Employee Master'!B82="","",'Employee Master'!J82)</f>
        <v/>
      </c>
      <c r="H85" s="134">
        <f>IF('Employee Master'!B82="","",'Employee Master'!I82)</f>
        <v/>
      </c>
      <c r="I85" s="134">
        <f>IF('Employee Master'!B82="","",'Employee Master'!K82)</f>
        <v/>
      </c>
      <c r="J85" s="134">
        <f>IF('Employee Master'!B82="","",'Employee Master'!L82)</f>
        <v/>
      </c>
      <c r="K85" s="134">
        <f>IF('Employee Master'!B82="","",'Employee Master'!T82)</f>
        <v/>
      </c>
      <c r="L85" s="134">
        <f>IF('Employee Master'!B82="","",'Employee Master'!M82)</f>
        <v/>
      </c>
      <c r="M85" s="134">
        <f>IF('Employee Master'!B82="","",'Employee Master'!N82)</f>
        <v/>
      </c>
      <c r="N85" s="134">
        <f>IF('Employee Master'!B82="","",'Employee Master'!H82)</f>
        <v/>
      </c>
      <c r="O85" s="134">
        <f>IF('Employee Master'!B82="","",'Employee Master'!AD82)</f>
        <v/>
      </c>
    </row>
    <row r="86" ht="15" customHeight="1" s="120">
      <c r="A86" s="134">
        <f>IF('Employee Master'!B83="","",IF(AND('Employee Master'!AD83="Y",OR('Employee Master'!C83="12:15 PM",'Employee Master'!C83="2:00 PM"),'Employee Master'!E83="N"),"Y","N"))</f>
        <v/>
      </c>
      <c r="B86" s="134">
        <f>IF('Employee Master'!B83="","",'Employee Master'!B83)</f>
        <v/>
      </c>
      <c r="C86" s="134">
        <f>IF('Employee Master'!B83="","",'Employee Master'!C83)</f>
        <v/>
      </c>
      <c r="D86" s="134">
        <f>IF('Employee Master'!B83="","",'Employee Master'!E83)</f>
        <v/>
      </c>
      <c r="E86" s="134">
        <f>IF('Employee Master'!B83="","",'Employee Master'!F83)</f>
        <v/>
      </c>
      <c r="F86" s="134">
        <f>IF('Employee Master'!B83="","",'Employee Master'!P83)</f>
        <v/>
      </c>
      <c r="G86" s="134">
        <f>IF('Employee Master'!B83="","",'Employee Master'!J83)</f>
        <v/>
      </c>
      <c r="H86" s="134">
        <f>IF('Employee Master'!B83="","",'Employee Master'!I83)</f>
        <v/>
      </c>
      <c r="I86" s="134">
        <f>IF('Employee Master'!B83="","",'Employee Master'!K83)</f>
        <v/>
      </c>
      <c r="J86" s="134">
        <f>IF('Employee Master'!B83="","",'Employee Master'!L83)</f>
        <v/>
      </c>
      <c r="K86" s="134">
        <f>IF('Employee Master'!B83="","",'Employee Master'!T83)</f>
        <v/>
      </c>
      <c r="L86" s="134">
        <f>IF('Employee Master'!B83="","",'Employee Master'!M83)</f>
        <v/>
      </c>
      <c r="M86" s="134">
        <f>IF('Employee Master'!B83="","",'Employee Master'!N83)</f>
        <v/>
      </c>
      <c r="N86" s="134">
        <f>IF('Employee Master'!B83="","",'Employee Master'!H83)</f>
        <v/>
      </c>
      <c r="O86" s="134">
        <f>IF('Employee Master'!B83="","",'Employee Master'!AD83)</f>
        <v/>
      </c>
    </row>
    <row r="87" ht="15" customHeight="1" s="120">
      <c r="A87" s="134">
        <f>IF('Employee Master'!B84="","",IF(AND('Employee Master'!AD84="Y",OR('Employee Master'!C84="12:15 PM",'Employee Master'!C84="2:00 PM"),'Employee Master'!E84="N"),"Y","N"))</f>
        <v/>
      </c>
      <c r="B87" s="134">
        <f>IF('Employee Master'!B84="","",'Employee Master'!B84)</f>
        <v/>
      </c>
      <c r="C87" s="134">
        <f>IF('Employee Master'!B84="","",'Employee Master'!C84)</f>
        <v/>
      </c>
      <c r="D87" s="134">
        <f>IF('Employee Master'!B84="","",'Employee Master'!E84)</f>
        <v/>
      </c>
      <c r="E87" s="134">
        <f>IF('Employee Master'!B84="","",'Employee Master'!F84)</f>
        <v/>
      </c>
      <c r="F87" s="134">
        <f>IF('Employee Master'!B84="","",'Employee Master'!P84)</f>
        <v/>
      </c>
      <c r="G87" s="134">
        <f>IF('Employee Master'!B84="","",'Employee Master'!J84)</f>
        <v/>
      </c>
      <c r="H87" s="134">
        <f>IF('Employee Master'!B84="","",'Employee Master'!I84)</f>
        <v/>
      </c>
      <c r="I87" s="134">
        <f>IF('Employee Master'!B84="","",'Employee Master'!K84)</f>
        <v/>
      </c>
      <c r="J87" s="134">
        <f>IF('Employee Master'!B84="","",'Employee Master'!L84)</f>
        <v/>
      </c>
      <c r="K87" s="134">
        <f>IF('Employee Master'!B84="","",'Employee Master'!T84)</f>
        <v/>
      </c>
      <c r="L87" s="134">
        <f>IF('Employee Master'!B84="","",'Employee Master'!M84)</f>
        <v/>
      </c>
      <c r="M87" s="134">
        <f>IF('Employee Master'!B84="","",'Employee Master'!N84)</f>
        <v/>
      </c>
      <c r="N87" s="134">
        <f>IF('Employee Master'!B84="","",'Employee Master'!H84)</f>
        <v/>
      </c>
      <c r="O87" s="134">
        <f>IF('Employee Master'!B84="","",'Employee Master'!AD84)</f>
        <v/>
      </c>
    </row>
    <row r="88" ht="15" customHeight="1" s="120">
      <c r="A88" s="134">
        <f>IF('Employee Master'!B85="","",IF(AND('Employee Master'!AD85="Y",OR('Employee Master'!C85="12:15 PM",'Employee Master'!C85="2:00 PM"),'Employee Master'!E85="N"),"Y","N"))</f>
        <v/>
      </c>
      <c r="B88" s="134">
        <f>IF('Employee Master'!B85="","",'Employee Master'!B85)</f>
        <v/>
      </c>
      <c r="C88" s="134">
        <f>IF('Employee Master'!B85="","",'Employee Master'!C85)</f>
        <v/>
      </c>
      <c r="D88" s="134">
        <f>IF('Employee Master'!B85="","",'Employee Master'!E85)</f>
        <v/>
      </c>
      <c r="E88" s="134">
        <f>IF('Employee Master'!B85="","",'Employee Master'!F85)</f>
        <v/>
      </c>
      <c r="F88" s="134">
        <f>IF('Employee Master'!B85="","",'Employee Master'!P85)</f>
        <v/>
      </c>
      <c r="G88" s="134">
        <f>IF('Employee Master'!B85="","",'Employee Master'!J85)</f>
        <v/>
      </c>
      <c r="H88" s="134">
        <f>IF('Employee Master'!B85="","",'Employee Master'!I85)</f>
        <v/>
      </c>
      <c r="I88" s="134">
        <f>IF('Employee Master'!B85="","",'Employee Master'!K85)</f>
        <v/>
      </c>
      <c r="J88" s="134">
        <f>IF('Employee Master'!B85="","",'Employee Master'!L85)</f>
        <v/>
      </c>
      <c r="K88" s="134">
        <f>IF('Employee Master'!B85="","",'Employee Master'!T85)</f>
        <v/>
      </c>
      <c r="L88" s="134">
        <f>IF('Employee Master'!B85="","",'Employee Master'!M85)</f>
        <v/>
      </c>
      <c r="M88" s="134">
        <f>IF('Employee Master'!B85="","",'Employee Master'!N85)</f>
        <v/>
      </c>
      <c r="N88" s="134">
        <f>IF('Employee Master'!B85="","",'Employee Master'!H85)</f>
        <v/>
      </c>
      <c r="O88" s="134">
        <f>IF('Employee Master'!B85="","",'Employee Master'!AD85)</f>
        <v/>
      </c>
    </row>
    <row r="89" ht="15" customHeight="1" s="120">
      <c r="A89" s="134">
        <f>IF('Employee Master'!B86="","",IF(AND('Employee Master'!AD86="Y",OR('Employee Master'!C86="12:15 PM",'Employee Master'!C86="2:00 PM"),'Employee Master'!E86="N"),"Y","N"))</f>
        <v/>
      </c>
      <c r="B89" s="134">
        <f>IF('Employee Master'!B86="","",'Employee Master'!B86)</f>
        <v/>
      </c>
      <c r="C89" s="134">
        <f>IF('Employee Master'!B86="","",'Employee Master'!C86)</f>
        <v/>
      </c>
      <c r="D89" s="134">
        <f>IF('Employee Master'!B86="","",'Employee Master'!E86)</f>
        <v/>
      </c>
      <c r="E89" s="134">
        <f>IF('Employee Master'!B86="","",'Employee Master'!F86)</f>
        <v/>
      </c>
      <c r="F89" s="134">
        <f>IF('Employee Master'!B86="","",'Employee Master'!P86)</f>
        <v/>
      </c>
      <c r="G89" s="134">
        <f>IF('Employee Master'!B86="","",'Employee Master'!J86)</f>
        <v/>
      </c>
      <c r="H89" s="134">
        <f>IF('Employee Master'!B86="","",'Employee Master'!I86)</f>
        <v/>
      </c>
      <c r="I89" s="134">
        <f>IF('Employee Master'!B86="","",'Employee Master'!K86)</f>
        <v/>
      </c>
      <c r="J89" s="134">
        <f>IF('Employee Master'!B86="","",'Employee Master'!L86)</f>
        <v/>
      </c>
      <c r="K89" s="134">
        <f>IF('Employee Master'!B86="","",'Employee Master'!T86)</f>
        <v/>
      </c>
      <c r="L89" s="134">
        <f>IF('Employee Master'!B86="","",'Employee Master'!M86)</f>
        <v/>
      </c>
      <c r="M89" s="134">
        <f>IF('Employee Master'!B86="","",'Employee Master'!N86)</f>
        <v/>
      </c>
      <c r="N89" s="134">
        <f>IF('Employee Master'!B86="","",'Employee Master'!H86)</f>
        <v/>
      </c>
      <c r="O89" s="134">
        <f>IF('Employee Master'!B86="","",'Employee Master'!AD86)</f>
        <v/>
      </c>
    </row>
    <row r="90" ht="15" customHeight="1" s="120">
      <c r="A90" s="134">
        <f>IF('Employee Master'!B87="","",IF(AND('Employee Master'!AD87="Y",OR('Employee Master'!C87="12:15 PM",'Employee Master'!C87="2:00 PM"),'Employee Master'!E87="N"),"Y","N"))</f>
        <v/>
      </c>
      <c r="B90" s="134">
        <f>IF('Employee Master'!B87="","",'Employee Master'!B87)</f>
        <v/>
      </c>
      <c r="C90" s="134">
        <f>IF('Employee Master'!B87="","",'Employee Master'!C87)</f>
        <v/>
      </c>
      <c r="D90" s="134">
        <f>IF('Employee Master'!B87="","",'Employee Master'!E87)</f>
        <v/>
      </c>
      <c r="E90" s="134">
        <f>IF('Employee Master'!B87="","",'Employee Master'!F87)</f>
        <v/>
      </c>
      <c r="F90" s="134">
        <f>IF('Employee Master'!B87="","",'Employee Master'!P87)</f>
        <v/>
      </c>
      <c r="G90" s="134">
        <f>IF('Employee Master'!B87="","",'Employee Master'!J87)</f>
        <v/>
      </c>
      <c r="H90" s="134">
        <f>IF('Employee Master'!B87="","",'Employee Master'!I87)</f>
        <v/>
      </c>
      <c r="I90" s="134">
        <f>IF('Employee Master'!B87="","",'Employee Master'!K87)</f>
        <v/>
      </c>
      <c r="J90" s="134">
        <f>IF('Employee Master'!B87="","",'Employee Master'!L87)</f>
        <v/>
      </c>
      <c r="K90" s="134">
        <f>IF('Employee Master'!B87="","",'Employee Master'!T87)</f>
        <v/>
      </c>
      <c r="L90" s="134">
        <f>IF('Employee Master'!B87="","",'Employee Master'!M87)</f>
        <v/>
      </c>
      <c r="M90" s="134">
        <f>IF('Employee Master'!B87="","",'Employee Master'!N87)</f>
        <v/>
      </c>
      <c r="N90" s="134">
        <f>IF('Employee Master'!B87="","",'Employee Master'!H87)</f>
        <v/>
      </c>
      <c r="O90" s="134">
        <f>IF('Employee Master'!B87="","",'Employee Master'!AD87)</f>
        <v/>
      </c>
    </row>
    <row r="91" ht="15" customHeight="1" s="120">
      <c r="A91" s="134">
        <f>IF('Employee Master'!B88="","",IF(AND('Employee Master'!AD88="Y",OR('Employee Master'!C88="12:15 PM",'Employee Master'!C88="2:00 PM"),'Employee Master'!E88="N"),"Y","N"))</f>
        <v/>
      </c>
      <c r="B91" s="134">
        <f>IF('Employee Master'!B88="","",'Employee Master'!B88)</f>
        <v/>
      </c>
      <c r="C91" s="134">
        <f>IF('Employee Master'!B88="","",'Employee Master'!C88)</f>
        <v/>
      </c>
      <c r="D91" s="134">
        <f>IF('Employee Master'!B88="","",'Employee Master'!E88)</f>
        <v/>
      </c>
      <c r="E91" s="134">
        <f>IF('Employee Master'!B88="","",'Employee Master'!F88)</f>
        <v/>
      </c>
      <c r="F91" s="134">
        <f>IF('Employee Master'!B88="","",'Employee Master'!P88)</f>
        <v/>
      </c>
      <c r="G91" s="134">
        <f>IF('Employee Master'!B88="","",'Employee Master'!J88)</f>
        <v/>
      </c>
      <c r="H91" s="134">
        <f>IF('Employee Master'!B88="","",'Employee Master'!I88)</f>
        <v/>
      </c>
      <c r="I91" s="134">
        <f>IF('Employee Master'!B88="","",'Employee Master'!K88)</f>
        <v/>
      </c>
      <c r="J91" s="134">
        <f>IF('Employee Master'!B88="","",'Employee Master'!L88)</f>
        <v/>
      </c>
      <c r="K91" s="134">
        <f>IF('Employee Master'!B88="","",'Employee Master'!T88)</f>
        <v/>
      </c>
      <c r="L91" s="134">
        <f>IF('Employee Master'!B88="","",'Employee Master'!M88)</f>
        <v/>
      </c>
      <c r="M91" s="134">
        <f>IF('Employee Master'!B88="","",'Employee Master'!N88)</f>
        <v/>
      </c>
      <c r="N91" s="134">
        <f>IF('Employee Master'!B88="","",'Employee Master'!H88)</f>
        <v/>
      </c>
      <c r="O91" s="134">
        <f>IF('Employee Master'!B88="","",'Employee Master'!AD88)</f>
        <v/>
      </c>
    </row>
    <row r="92" ht="15" customHeight="1" s="120">
      <c r="A92" s="134">
        <f>IF('Employee Master'!B89="","",IF(AND('Employee Master'!AD89="Y",OR('Employee Master'!C89="12:15 PM",'Employee Master'!C89="2:00 PM"),'Employee Master'!E89="N"),"Y","N"))</f>
        <v/>
      </c>
      <c r="B92" s="134">
        <f>IF('Employee Master'!B89="","",'Employee Master'!B89)</f>
        <v/>
      </c>
      <c r="C92" s="134">
        <f>IF('Employee Master'!B89="","",'Employee Master'!C89)</f>
        <v/>
      </c>
      <c r="D92" s="134">
        <f>IF('Employee Master'!B89="","",'Employee Master'!E89)</f>
        <v/>
      </c>
      <c r="E92" s="134">
        <f>IF('Employee Master'!B89="","",'Employee Master'!F89)</f>
        <v/>
      </c>
      <c r="F92" s="134">
        <f>IF('Employee Master'!B89="","",'Employee Master'!P89)</f>
        <v/>
      </c>
      <c r="G92" s="134">
        <f>IF('Employee Master'!B89="","",'Employee Master'!J89)</f>
        <v/>
      </c>
      <c r="H92" s="134">
        <f>IF('Employee Master'!B89="","",'Employee Master'!I89)</f>
        <v/>
      </c>
      <c r="I92" s="134">
        <f>IF('Employee Master'!B89="","",'Employee Master'!K89)</f>
        <v/>
      </c>
      <c r="J92" s="134">
        <f>IF('Employee Master'!B89="","",'Employee Master'!L89)</f>
        <v/>
      </c>
      <c r="K92" s="134">
        <f>IF('Employee Master'!B89="","",'Employee Master'!T89)</f>
        <v/>
      </c>
      <c r="L92" s="134">
        <f>IF('Employee Master'!B89="","",'Employee Master'!M89)</f>
        <v/>
      </c>
      <c r="M92" s="134">
        <f>IF('Employee Master'!B89="","",'Employee Master'!N89)</f>
        <v/>
      </c>
      <c r="N92" s="134">
        <f>IF('Employee Master'!B89="","",'Employee Master'!H89)</f>
        <v/>
      </c>
      <c r="O92" s="134">
        <f>IF('Employee Master'!B89="","",'Employee Master'!AD89)</f>
        <v/>
      </c>
    </row>
    <row r="93" ht="15" customHeight="1" s="120">
      <c r="A93" s="134">
        <f>IF('Employee Master'!B90="","",IF(AND('Employee Master'!AD90="Y",OR('Employee Master'!C90="12:15 PM",'Employee Master'!C90="2:00 PM"),'Employee Master'!E90="N"),"Y","N"))</f>
        <v/>
      </c>
      <c r="B93" s="134">
        <f>IF('Employee Master'!B90="","",'Employee Master'!B90)</f>
        <v/>
      </c>
      <c r="C93" s="134">
        <f>IF('Employee Master'!B90="","",'Employee Master'!C90)</f>
        <v/>
      </c>
      <c r="D93" s="134">
        <f>IF('Employee Master'!B90="","",'Employee Master'!E90)</f>
        <v/>
      </c>
      <c r="E93" s="134">
        <f>IF('Employee Master'!B90="","",'Employee Master'!F90)</f>
        <v/>
      </c>
      <c r="F93" s="134">
        <f>IF('Employee Master'!B90="","",'Employee Master'!P90)</f>
        <v/>
      </c>
      <c r="G93" s="134">
        <f>IF('Employee Master'!B90="","",'Employee Master'!J90)</f>
        <v/>
      </c>
      <c r="H93" s="134">
        <f>IF('Employee Master'!B90="","",'Employee Master'!I90)</f>
        <v/>
      </c>
      <c r="I93" s="134">
        <f>IF('Employee Master'!B90="","",'Employee Master'!K90)</f>
        <v/>
      </c>
      <c r="J93" s="134">
        <f>IF('Employee Master'!B90="","",'Employee Master'!L90)</f>
        <v/>
      </c>
      <c r="K93" s="134">
        <f>IF('Employee Master'!B90="","",'Employee Master'!T90)</f>
        <v/>
      </c>
      <c r="L93" s="134">
        <f>IF('Employee Master'!B90="","",'Employee Master'!M90)</f>
        <v/>
      </c>
      <c r="M93" s="134">
        <f>IF('Employee Master'!B90="","",'Employee Master'!N90)</f>
        <v/>
      </c>
      <c r="N93" s="134">
        <f>IF('Employee Master'!B90="","",'Employee Master'!H90)</f>
        <v/>
      </c>
      <c r="O93" s="134">
        <f>IF('Employee Master'!B90="","",'Employee Master'!AD90)</f>
        <v/>
      </c>
    </row>
    <row r="94" ht="15" customHeight="1" s="120">
      <c r="A94" s="134">
        <f>IF('Employee Master'!B91="","",IF(AND('Employee Master'!AD91="Y",OR('Employee Master'!C91="12:15 PM",'Employee Master'!C91="2:00 PM"),'Employee Master'!E91="N"),"Y","N"))</f>
        <v/>
      </c>
      <c r="B94" s="134">
        <f>IF('Employee Master'!B91="","",'Employee Master'!B91)</f>
        <v/>
      </c>
      <c r="C94" s="134">
        <f>IF('Employee Master'!B91="","",'Employee Master'!C91)</f>
        <v/>
      </c>
      <c r="D94" s="134">
        <f>IF('Employee Master'!B91="","",'Employee Master'!E91)</f>
        <v/>
      </c>
      <c r="E94" s="134">
        <f>IF('Employee Master'!B91="","",'Employee Master'!F91)</f>
        <v/>
      </c>
      <c r="F94" s="134">
        <f>IF('Employee Master'!B91="","",'Employee Master'!P91)</f>
        <v/>
      </c>
      <c r="G94" s="134">
        <f>IF('Employee Master'!B91="","",'Employee Master'!J91)</f>
        <v/>
      </c>
      <c r="H94" s="134">
        <f>IF('Employee Master'!B91="","",'Employee Master'!I91)</f>
        <v/>
      </c>
      <c r="I94" s="134">
        <f>IF('Employee Master'!B91="","",'Employee Master'!K91)</f>
        <v/>
      </c>
      <c r="J94" s="134">
        <f>IF('Employee Master'!B91="","",'Employee Master'!L91)</f>
        <v/>
      </c>
      <c r="K94" s="134">
        <f>IF('Employee Master'!B91="","",'Employee Master'!T91)</f>
        <v/>
      </c>
      <c r="L94" s="134">
        <f>IF('Employee Master'!B91="","",'Employee Master'!M91)</f>
        <v/>
      </c>
      <c r="M94" s="134">
        <f>IF('Employee Master'!B91="","",'Employee Master'!N91)</f>
        <v/>
      </c>
      <c r="N94" s="134">
        <f>IF('Employee Master'!B91="","",'Employee Master'!H91)</f>
        <v/>
      </c>
      <c r="O94" s="134">
        <f>IF('Employee Master'!B91="","",'Employee Master'!AD91)</f>
        <v/>
      </c>
    </row>
    <row r="95" ht="15" customHeight="1" s="120">
      <c r="A95" s="134">
        <f>IF('Employee Master'!B92="","",IF(AND('Employee Master'!AD92="Y",OR('Employee Master'!C92="12:15 PM",'Employee Master'!C92="2:00 PM"),'Employee Master'!E92="N"),"Y","N"))</f>
        <v/>
      </c>
      <c r="B95" s="134">
        <f>IF('Employee Master'!B92="","",'Employee Master'!B92)</f>
        <v/>
      </c>
      <c r="C95" s="134">
        <f>IF('Employee Master'!B92="","",'Employee Master'!C92)</f>
        <v/>
      </c>
      <c r="D95" s="134">
        <f>IF('Employee Master'!B92="","",'Employee Master'!E92)</f>
        <v/>
      </c>
      <c r="E95" s="134">
        <f>IF('Employee Master'!B92="","",'Employee Master'!F92)</f>
        <v/>
      </c>
      <c r="F95" s="134">
        <f>IF('Employee Master'!B92="","",'Employee Master'!P92)</f>
        <v/>
      </c>
      <c r="G95" s="134">
        <f>IF('Employee Master'!B92="","",'Employee Master'!J92)</f>
        <v/>
      </c>
      <c r="H95" s="134">
        <f>IF('Employee Master'!B92="","",'Employee Master'!I92)</f>
        <v/>
      </c>
      <c r="I95" s="134">
        <f>IF('Employee Master'!B92="","",'Employee Master'!K92)</f>
        <v/>
      </c>
      <c r="J95" s="134">
        <f>IF('Employee Master'!B92="","",'Employee Master'!L92)</f>
        <v/>
      </c>
      <c r="K95" s="134">
        <f>IF('Employee Master'!B92="","",'Employee Master'!T92)</f>
        <v/>
      </c>
      <c r="L95" s="134">
        <f>IF('Employee Master'!B92="","",'Employee Master'!M92)</f>
        <v/>
      </c>
      <c r="M95" s="134">
        <f>IF('Employee Master'!B92="","",'Employee Master'!N92)</f>
        <v/>
      </c>
      <c r="N95" s="134">
        <f>IF('Employee Master'!B92="","",'Employee Master'!H92)</f>
        <v/>
      </c>
      <c r="O95" s="134">
        <f>IF('Employee Master'!B92="","",'Employee Master'!AD92)</f>
        <v/>
      </c>
    </row>
    <row r="96" ht="15" customHeight="1" s="120">
      <c r="A96" s="134">
        <f>IF('Employee Master'!B93="","",IF(AND('Employee Master'!AD93="Y",OR('Employee Master'!C93="12:15 PM",'Employee Master'!C93="2:00 PM"),'Employee Master'!E93="N"),"Y","N"))</f>
        <v/>
      </c>
      <c r="B96" s="134">
        <f>IF('Employee Master'!B93="","",'Employee Master'!B93)</f>
        <v/>
      </c>
      <c r="C96" s="134">
        <f>IF('Employee Master'!B93="","",'Employee Master'!C93)</f>
        <v/>
      </c>
      <c r="D96" s="134">
        <f>IF('Employee Master'!B93="","",'Employee Master'!E93)</f>
        <v/>
      </c>
      <c r="E96" s="134">
        <f>IF('Employee Master'!B93="","",'Employee Master'!F93)</f>
        <v/>
      </c>
      <c r="F96" s="134">
        <f>IF('Employee Master'!B93="","",'Employee Master'!P93)</f>
        <v/>
      </c>
      <c r="G96" s="134">
        <f>IF('Employee Master'!B93="","",'Employee Master'!J93)</f>
        <v/>
      </c>
      <c r="H96" s="134">
        <f>IF('Employee Master'!B93="","",'Employee Master'!I93)</f>
        <v/>
      </c>
      <c r="I96" s="134">
        <f>IF('Employee Master'!B93="","",'Employee Master'!K93)</f>
        <v/>
      </c>
      <c r="J96" s="134">
        <f>IF('Employee Master'!B93="","",'Employee Master'!L93)</f>
        <v/>
      </c>
      <c r="K96" s="134">
        <f>IF('Employee Master'!B93="","",'Employee Master'!T93)</f>
        <v/>
      </c>
      <c r="L96" s="134">
        <f>IF('Employee Master'!B93="","",'Employee Master'!M93)</f>
        <v/>
      </c>
      <c r="M96" s="134">
        <f>IF('Employee Master'!B93="","",'Employee Master'!N93)</f>
        <v/>
      </c>
      <c r="N96" s="134">
        <f>IF('Employee Master'!B93="","",'Employee Master'!H93)</f>
        <v/>
      </c>
      <c r="O96" s="134">
        <f>IF('Employee Master'!B93="","",'Employee Master'!AD93)</f>
        <v/>
      </c>
    </row>
    <row r="97" ht="15" customHeight="1" s="120">
      <c r="A97" s="134">
        <f>IF('Employee Master'!B94="","",IF(AND('Employee Master'!AD94="Y",OR('Employee Master'!C94="12:15 PM",'Employee Master'!C94="2:00 PM"),'Employee Master'!E94="N"),"Y","N"))</f>
        <v/>
      </c>
      <c r="B97" s="134">
        <f>IF('Employee Master'!B94="","",'Employee Master'!B94)</f>
        <v/>
      </c>
      <c r="C97" s="134">
        <f>IF('Employee Master'!B94="","",'Employee Master'!C94)</f>
        <v/>
      </c>
      <c r="D97" s="134">
        <f>IF('Employee Master'!B94="","",'Employee Master'!E94)</f>
        <v/>
      </c>
      <c r="E97" s="134">
        <f>IF('Employee Master'!B94="","",'Employee Master'!F94)</f>
        <v/>
      </c>
      <c r="F97" s="134">
        <f>IF('Employee Master'!B94="","",'Employee Master'!P94)</f>
        <v/>
      </c>
      <c r="G97" s="134">
        <f>IF('Employee Master'!B94="","",'Employee Master'!J94)</f>
        <v/>
      </c>
      <c r="H97" s="134">
        <f>IF('Employee Master'!B94="","",'Employee Master'!I94)</f>
        <v/>
      </c>
      <c r="I97" s="134">
        <f>IF('Employee Master'!B94="","",'Employee Master'!K94)</f>
        <v/>
      </c>
      <c r="J97" s="134">
        <f>IF('Employee Master'!B94="","",'Employee Master'!L94)</f>
        <v/>
      </c>
      <c r="K97" s="134">
        <f>IF('Employee Master'!B94="","",'Employee Master'!T94)</f>
        <v/>
      </c>
      <c r="L97" s="134">
        <f>IF('Employee Master'!B94="","",'Employee Master'!M94)</f>
        <v/>
      </c>
      <c r="M97" s="134">
        <f>IF('Employee Master'!B94="","",'Employee Master'!N94)</f>
        <v/>
      </c>
      <c r="N97" s="134">
        <f>IF('Employee Master'!B94="","",'Employee Master'!H94)</f>
        <v/>
      </c>
      <c r="O97" s="134">
        <f>IF('Employee Master'!B94="","",'Employee Master'!AD94)</f>
        <v/>
      </c>
    </row>
    <row r="98" ht="15" customHeight="1" s="120">
      <c r="A98" s="134">
        <f>IF('Employee Master'!B95="","",IF(AND('Employee Master'!AD95="Y",OR('Employee Master'!C95="12:15 PM",'Employee Master'!C95="2:00 PM"),'Employee Master'!E95="N"),"Y","N"))</f>
        <v/>
      </c>
      <c r="B98" s="134">
        <f>IF('Employee Master'!B95="","",'Employee Master'!B95)</f>
        <v/>
      </c>
      <c r="C98" s="134">
        <f>IF('Employee Master'!B95="","",'Employee Master'!C95)</f>
        <v/>
      </c>
      <c r="D98" s="134">
        <f>IF('Employee Master'!B95="","",'Employee Master'!E95)</f>
        <v/>
      </c>
      <c r="E98" s="134">
        <f>IF('Employee Master'!B95="","",'Employee Master'!F95)</f>
        <v/>
      </c>
      <c r="F98" s="134">
        <f>IF('Employee Master'!B95="","",'Employee Master'!P95)</f>
        <v/>
      </c>
      <c r="G98" s="134">
        <f>IF('Employee Master'!B95="","",'Employee Master'!J95)</f>
        <v/>
      </c>
      <c r="H98" s="134">
        <f>IF('Employee Master'!B95="","",'Employee Master'!I95)</f>
        <v/>
      </c>
      <c r="I98" s="134">
        <f>IF('Employee Master'!B95="","",'Employee Master'!K95)</f>
        <v/>
      </c>
      <c r="J98" s="134">
        <f>IF('Employee Master'!B95="","",'Employee Master'!L95)</f>
        <v/>
      </c>
      <c r="K98" s="134">
        <f>IF('Employee Master'!B95="","",'Employee Master'!T95)</f>
        <v/>
      </c>
      <c r="L98" s="134">
        <f>IF('Employee Master'!B95="","",'Employee Master'!M95)</f>
        <v/>
      </c>
      <c r="M98" s="134">
        <f>IF('Employee Master'!B95="","",'Employee Master'!N95)</f>
        <v/>
      </c>
      <c r="N98" s="134">
        <f>IF('Employee Master'!B95="","",'Employee Master'!H95)</f>
        <v/>
      </c>
      <c r="O98" s="134">
        <f>IF('Employee Master'!B95="","",'Employee Master'!AD95)</f>
        <v/>
      </c>
    </row>
    <row r="99" ht="15" customHeight="1" s="120">
      <c r="A99" s="134">
        <f>IF('Employee Master'!B96="","",IF(AND('Employee Master'!AD96="Y",OR('Employee Master'!C96="12:15 PM",'Employee Master'!C96="2:00 PM"),'Employee Master'!E96="N"),"Y","N"))</f>
        <v/>
      </c>
      <c r="B99" s="134">
        <f>IF('Employee Master'!B96="","",'Employee Master'!B96)</f>
        <v/>
      </c>
      <c r="C99" s="134">
        <f>IF('Employee Master'!B96="","",'Employee Master'!C96)</f>
        <v/>
      </c>
      <c r="D99" s="134">
        <f>IF('Employee Master'!B96="","",'Employee Master'!E96)</f>
        <v/>
      </c>
      <c r="E99" s="134">
        <f>IF('Employee Master'!B96="","",'Employee Master'!F96)</f>
        <v/>
      </c>
      <c r="F99" s="134">
        <f>IF('Employee Master'!B96="","",'Employee Master'!P96)</f>
        <v/>
      </c>
      <c r="G99" s="134">
        <f>IF('Employee Master'!B96="","",'Employee Master'!J96)</f>
        <v/>
      </c>
      <c r="H99" s="134">
        <f>IF('Employee Master'!B96="","",'Employee Master'!I96)</f>
        <v/>
      </c>
      <c r="I99" s="134">
        <f>IF('Employee Master'!B96="","",'Employee Master'!K96)</f>
        <v/>
      </c>
      <c r="J99" s="134">
        <f>IF('Employee Master'!B96="","",'Employee Master'!L96)</f>
        <v/>
      </c>
      <c r="K99" s="134">
        <f>IF('Employee Master'!B96="","",'Employee Master'!T96)</f>
        <v/>
      </c>
      <c r="L99" s="134">
        <f>IF('Employee Master'!B96="","",'Employee Master'!M96)</f>
        <v/>
      </c>
      <c r="M99" s="134">
        <f>IF('Employee Master'!B96="","",'Employee Master'!N96)</f>
        <v/>
      </c>
      <c r="N99" s="134">
        <f>IF('Employee Master'!B96="","",'Employee Master'!H96)</f>
        <v/>
      </c>
      <c r="O99" s="134">
        <f>IF('Employee Master'!B96="","",'Employee Master'!AD96)</f>
        <v/>
      </c>
    </row>
    <row r="100" ht="15" customHeight="1" s="120">
      <c r="A100" s="134">
        <f>IF('Employee Master'!B97="","",IF(AND('Employee Master'!AD97="Y",OR('Employee Master'!C97="12:15 PM",'Employee Master'!C97="2:00 PM"),'Employee Master'!E97="N"),"Y","N"))</f>
        <v/>
      </c>
      <c r="B100" s="134">
        <f>IF('Employee Master'!B97="","",'Employee Master'!B97)</f>
        <v/>
      </c>
      <c r="C100" s="134">
        <f>IF('Employee Master'!B97="","",'Employee Master'!C97)</f>
        <v/>
      </c>
      <c r="D100" s="134">
        <f>IF('Employee Master'!B97="","",'Employee Master'!E97)</f>
        <v/>
      </c>
      <c r="E100" s="134">
        <f>IF('Employee Master'!B97="","",'Employee Master'!F97)</f>
        <v/>
      </c>
      <c r="F100" s="134">
        <f>IF('Employee Master'!B97="","",'Employee Master'!P97)</f>
        <v/>
      </c>
      <c r="G100" s="134">
        <f>IF('Employee Master'!B97="","",'Employee Master'!J97)</f>
        <v/>
      </c>
      <c r="H100" s="134">
        <f>IF('Employee Master'!B97="","",'Employee Master'!I97)</f>
        <v/>
      </c>
      <c r="I100" s="134">
        <f>IF('Employee Master'!B97="","",'Employee Master'!K97)</f>
        <v/>
      </c>
      <c r="J100" s="134">
        <f>IF('Employee Master'!B97="","",'Employee Master'!L97)</f>
        <v/>
      </c>
      <c r="K100" s="134">
        <f>IF('Employee Master'!B97="","",'Employee Master'!T97)</f>
        <v/>
      </c>
      <c r="L100" s="134">
        <f>IF('Employee Master'!B97="","",'Employee Master'!M97)</f>
        <v/>
      </c>
      <c r="M100" s="134">
        <f>IF('Employee Master'!B97="","",'Employee Master'!N97)</f>
        <v/>
      </c>
      <c r="N100" s="134">
        <f>IF('Employee Master'!B97="","",'Employee Master'!H97)</f>
        <v/>
      </c>
      <c r="O100" s="134">
        <f>IF('Employee Master'!B97="","",'Employee Master'!AD97)</f>
        <v/>
      </c>
    </row>
    <row r="101" ht="15" customHeight="1" s="120">
      <c r="A101" s="134">
        <f>IF('Employee Master'!B98="","",IF(AND('Employee Master'!AD98="Y",OR('Employee Master'!C98="12:15 PM",'Employee Master'!C98="2:00 PM"),'Employee Master'!E98="N"),"Y","N"))</f>
        <v/>
      </c>
      <c r="B101" s="134">
        <f>IF('Employee Master'!B98="","",'Employee Master'!B98)</f>
        <v/>
      </c>
      <c r="C101" s="134">
        <f>IF('Employee Master'!B98="","",'Employee Master'!C98)</f>
        <v/>
      </c>
      <c r="D101" s="134">
        <f>IF('Employee Master'!B98="","",'Employee Master'!E98)</f>
        <v/>
      </c>
      <c r="E101" s="134">
        <f>IF('Employee Master'!B98="","",'Employee Master'!F98)</f>
        <v/>
      </c>
      <c r="F101" s="134">
        <f>IF('Employee Master'!B98="","",'Employee Master'!P98)</f>
        <v/>
      </c>
      <c r="G101" s="134">
        <f>IF('Employee Master'!B98="","",'Employee Master'!J98)</f>
        <v/>
      </c>
      <c r="H101" s="134">
        <f>IF('Employee Master'!B98="","",'Employee Master'!I98)</f>
        <v/>
      </c>
      <c r="I101" s="134">
        <f>IF('Employee Master'!B98="","",'Employee Master'!K98)</f>
        <v/>
      </c>
      <c r="J101" s="134">
        <f>IF('Employee Master'!B98="","",'Employee Master'!L98)</f>
        <v/>
      </c>
      <c r="K101" s="134">
        <f>IF('Employee Master'!B98="","",'Employee Master'!T98)</f>
        <v/>
      </c>
      <c r="L101" s="134">
        <f>IF('Employee Master'!B98="","",'Employee Master'!M98)</f>
        <v/>
      </c>
      <c r="M101" s="134">
        <f>IF('Employee Master'!B98="","",'Employee Master'!N98)</f>
        <v/>
      </c>
      <c r="N101" s="134">
        <f>IF('Employee Master'!B98="","",'Employee Master'!H98)</f>
        <v/>
      </c>
      <c r="O101" s="134">
        <f>IF('Employee Master'!B98="","",'Employee Master'!AD98)</f>
        <v/>
      </c>
    </row>
    <row r="102" ht="15" customHeight="1" s="120">
      <c r="A102" s="134">
        <f>IF('Employee Master'!B99="","",IF(AND('Employee Master'!AD99="Y",OR('Employee Master'!C99="12:15 PM",'Employee Master'!C99="2:00 PM"),'Employee Master'!E99="N"),"Y","N"))</f>
        <v/>
      </c>
      <c r="B102" s="134">
        <f>IF('Employee Master'!B99="","",'Employee Master'!B99)</f>
        <v/>
      </c>
      <c r="C102" s="134">
        <f>IF('Employee Master'!B99="","",'Employee Master'!C99)</f>
        <v/>
      </c>
      <c r="D102" s="134">
        <f>IF('Employee Master'!B99="","",'Employee Master'!E99)</f>
        <v/>
      </c>
      <c r="E102" s="134">
        <f>IF('Employee Master'!B99="","",'Employee Master'!F99)</f>
        <v/>
      </c>
      <c r="F102" s="134">
        <f>IF('Employee Master'!B99="","",'Employee Master'!P99)</f>
        <v/>
      </c>
      <c r="G102" s="134">
        <f>IF('Employee Master'!B99="","",'Employee Master'!J99)</f>
        <v/>
      </c>
      <c r="H102" s="134">
        <f>IF('Employee Master'!B99="","",'Employee Master'!I99)</f>
        <v/>
      </c>
      <c r="I102" s="134">
        <f>IF('Employee Master'!B99="","",'Employee Master'!K99)</f>
        <v/>
      </c>
      <c r="J102" s="134">
        <f>IF('Employee Master'!B99="","",'Employee Master'!L99)</f>
        <v/>
      </c>
      <c r="K102" s="134">
        <f>IF('Employee Master'!B99="","",'Employee Master'!T99)</f>
        <v/>
      </c>
      <c r="L102" s="134">
        <f>IF('Employee Master'!B99="","",'Employee Master'!M99)</f>
        <v/>
      </c>
      <c r="M102" s="134">
        <f>IF('Employee Master'!B99="","",'Employee Master'!N99)</f>
        <v/>
      </c>
      <c r="N102" s="134">
        <f>IF('Employee Master'!B99="","",'Employee Master'!H99)</f>
        <v/>
      </c>
      <c r="O102" s="134">
        <f>IF('Employee Master'!B99="","",'Employee Master'!AD99)</f>
        <v/>
      </c>
    </row>
    <row r="103" ht="15" customHeight="1" s="120">
      <c r="A103" s="134">
        <f>IF('Employee Master'!B100="","",IF(AND('Employee Master'!AD100="Y",OR('Employee Master'!C100="12:15 PM",'Employee Master'!C100="2:00 PM"),'Employee Master'!E100="N"),"Y","N"))</f>
        <v/>
      </c>
      <c r="B103" s="134">
        <f>IF('Employee Master'!B100="","",'Employee Master'!B100)</f>
        <v/>
      </c>
      <c r="C103" s="134">
        <f>IF('Employee Master'!B100="","",'Employee Master'!C100)</f>
        <v/>
      </c>
      <c r="D103" s="134">
        <f>IF('Employee Master'!B100="","",'Employee Master'!E100)</f>
        <v/>
      </c>
      <c r="E103" s="134">
        <f>IF('Employee Master'!B100="","",'Employee Master'!F100)</f>
        <v/>
      </c>
      <c r="F103" s="134">
        <f>IF('Employee Master'!B100="","",'Employee Master'!P100)</f>
        <v/>
      </c>
      <c r="G103" s="134">
        <f>IF('Employee Master'!B100="","",'Employee Master'!J100)</f>
        <v/>
      </c>
      <c r="H103" s="134">
        <f>IF('Employee Master'!B100="","",'Employee Master'!I100)</f>
        <v/>
      </c>
      <c r="I103" s="134">
        <f>IF('Employee Master'!B100="","",'Employee Master'!K100)</f>
        <v/>
      </c>
      <c r="J103" s="134">
        <f>IF('Employee Master'!B100="","",'Employee Master'!L100)</f>
        <v/>
      </c>
      <c r="K103" s="134">
        <f>IF('Employee Master'!B100="","",'Employee Master'!T100)</f>
        <v/>
      </c>
      <c r="L103" s="134">
        <f>IF('Employee Master'!B100="","",'Employee Master'!M100)</f>
        <v/>
      </c>
      <c r="M103" s="134">
        <f>IF('Employee Master'!B100="","",'Employee Master'!N100)</f>
        <v/>
      </c>
      <c r="N103" s="134">
        <f>IF('Employee Master'!B100="","",'Employee Master'!H100)</f>
        <v/>
      </c>
      <c r="O103" s="134">
        <f>IF('Employee Master'!B100="","",'Employee Master'!AD100)</f>
        <v/>
      </c>
    </row>
    <row r="104" ht="15" customHeight="1" s="120">
      <c r="A104" s="134">
        <f>IF('Employee Master'!B101="","",IF(AND('Employee Master'!AD101="Y",OR('Employee Master'!C101="12:15 PM",'Employee Master'!C101="2:00 PM"),'Employee Master'!E101="N"),"Y","N"))</f>
        <v/>
      </c>
      <c r="B104" s="134">
        <f>IF('Employee Master'!B101="","",'Employee Master'!B101)</f>
        <v/>
      </c>
      <c r="C104" s="134">
        <f>IF('Employee Master'!B101="","",'Employee Master'!C101)</f>
        <v/>
      </c>
      <c r="D104" s="134">
        <f>IF('Employee Master'!B101="","",'Employee Master'!E101)</f>
        <v/>
      </c>
      <c r="E104" s="134">
        <f>IF('Employee Master'!B101="","",'Employee Master'!F101)</f>
        <v/>
      </c>
      <c r="F104" s="134">
        <f>IF('Employee Master'!B101="","",'Employee Master'!P101)</f>
        <v/>
      </c>
      <c r="G104" s="134">
        <f>IF('Employee Master'!B101="","",'Employee Master'!J101)</f>
        <v/>
      </c>
      <c r="H104" s="134">
        <f>IF('Employee Master'!B101="","",'Employee Master'!I101)</f>
        <v/>
      </c>
      <c r="I104" s="134">
        <f>IF('Employee Master'!B101="","",'Employee Master'!K101)</f>
        <v/>
      </c>
      <c r="J104" s="134">
        <f>IF('Employee Master'!B101="","",'Employee Master'!L101)</f>
        <v/>
      </c>
      <c r="K104" s="134">
        <f>IF('Employee Master'!B101="","",'Employee Master'!T101)</f>
        <v/>
      </c>
      <c r="L104" s="134">
        <f>IF('Employee Master'!B101="","",'Employee Master'!M101)</f>
        <v/>
      </c>
      <c r="M104" s="134">
        <f>IF('Employee Master'!B101="","",'Employee Master'!N101)</f>
        <v/>
      </c>
      <c r="N104" s="134">
        <f>IF('Employee Master'!B101="","",'Employee Master'!H101)</f>
        <v/>
      </c>
      <c r="O104" s="134">
        <f>IF('Employee Master'!B101="","",'Employee Master'!AD101)</f>
        <v/>
      </c>
    </row>
    <row r="105" ht="15" customHeight="1" s="120">
      <c r="A105" s="134">
        <f>IF('Employee Master'!B102="","",IF(AND('Employee Master'!AD102="Y",OR('Employee Master'!C102="12:15 PM",'Employee Master'!C102="2:00 PM"),'Employee Master'!E102="N"),"Y","N"))</f>
        <v/>
      </c>
      <c r="B105" s="134">
        <f>IF('Employee Master'!B102="","",'Employee Master'!B102)</f>
        <v/>
      </c>
      <c r="C105" s="134">
        <f>IF('Employee Master'!B102="","",'Employee Master'!C102)</f>
        <v/>
      </c>
      <c r="D105" s="134">
        <f>IF('Employee Master'!B102="","",'Employee Master'!E102)</f>
        <v/>
      </c>
      <c r="E105" s="134">
        <f>IF('Employee Master'!B102="","",'Employee Master'!F102)</f>
        <v/>
      </c>
      <c r="F105" s="134">
        <f>IF('Employee Master'!B102="","",'Employee Master'!P102)</f>
        <v/>
      </c>
      <c r="G105" s="134">
        <f>IF('Employee Master'!B102="","",'Employee Master'!J102)</f>
        <v/>
      </c>
      <c r="H105" s="134">
        <f>IF('Employee Master'!B102="","",'Employee Master'!I102)</f>
        <v/>
      </c>
      <c r="I105" s="134">
        <f>IF('Employee Master'!B102="","",'Employee Master'!K102)</f>
        <v/>
      </c>
      <c r="J105" s="134">
        <f>IF('Employee Master'!B102="","",'Employee Master'!L102)</f>
        <v/>
      </c>
      <c r="K105" s="134">
        <f>IF('Employee Master'!B102="","",'Employee Master'!T102)</f>
        <v/>
      </c>
      <c r="L105" s="134">
        <f>IF('Employee Master'!B102="","",'Employee Master'!M102)</f>
        <v/>
      </c>
      <c r="M105" s="134">
        <f>IF('Employee Master'!B102="","",'Employee Master'!N102)</f>
        <v/>
      </c>
      <c r="N105" s="134">
        <f>IF('Employee Master'!B102="","",'Employee Master'!H102)</f>
        <v/>
      </c>
      <c r="O105" s="134">
        <f>IF('Employee Master'!B102="","",'Employee Master'!AD102)</f>
        <v/>
      </c>
    </row>
    <row r="106" ht="15" customHeight="1" s="120">
      <c r="A106" s="134">
        <f>IF('Employee Master'!B103="","",IF(AND('Employee Master'!AD103="Y",OR('Employee Master'!C103="12:15 PM",'Employee Master'!C103="2:00 PM"),'Employee Master'!E103="N"),"Y","N"))</f>
        <v/>
      </c>
      <c r="B106" s="134">
        <f>IF('Employee Master'!B103="","",'Employee Master'!B103)</f>
        <v/>
      </c>
      <c r="C106" s="134">
        <f>IF('Employee Master'!B103="","",'Employee Master'!C103)</f>
        <v/>
      </c>
      <c r="D106" s="134">
        <f>IF('Employee Master'!B103="","",'Employee Master'!E103)</f>
        <v/>
      </c>
      <c r="E106" s="134">
        <f>IF('Employee Master'!B103="","",'Employee Master'!F103)</f>
        <v/>
      </c>
      <c r="F106" s="134">
        <f>IF('Employee Master'!B103="","",'Employee Master'!P103)</f>
        <v/>
      </c>
      <c r="G106" s="134">
        <f>IF('Employee Master'!B103="","",'Employee Master'!J103)</f>
        <v/>
      </c>
      <c r="H106" s="134">
        <f>IF('Employee Master'!B103="","",'Employee Master'!I103)</f>
        <v/>
      </c>
      <c r="I106" s="134">
        <f>IF('Employee Master'!B103="","",'Employee Master'!K103)</f>
        <v/>
      </c>
      <c r="J106" s="134">
        <f>IF('Employee Master'!B103="","",'Employee Master'!L103)</f>
        <v/>
      </c>
      <c r="K106" s="134">
        <f>IF('Employee Master'!B103="","",'Employee Master'!T103)</f>
        <v/>
      </c>
      <c r="L106" s="134">
        <f>IF('Employee Master'!B103="","",'Employee Master'!M103)</f>
        <v/>
      </c>
      <c r="M106" s="134">
        <f>IF('Employee Master'!B103="","",'Employee Master'!N103)</f>
        <v/>
      </c>
      <c r="N106" s="134">
        <f>IF('Employee Master'!B103="","",'Employee Master'!H103)</f>
        <v/>
      </c>
      <c r="O106" s="134">
        <f>IF('Employee Master'!B103="","",'Employee Master'!AD103)</f>
        <v/>
      </c>
    </row>
    <row r="107" ht="15" customHeight="1" s="120">
      <c r="A107" s="134">
        <f>IF('Employee Master'!B104="","",IF(AND('Employee Master'!AD104="Y",OR('Employee Master'!C104="12:15 PM",'Employee Master'!C104="2:00 PM"),'Employee Master'!E104="N"),"Y","N"))</f>
        <v/>
      </c>
      <c r="B107" s="134">
        <f>IF('Employee Master'!B104="","",'Employee Master'!B104)</f>
        <v/>
      </c>
      <c r="C107" s="134">
        <f>IF('Employee Master'!B104="","",'Employee Master'!C104)</f>
        <v/>
      </c>
      <c r="D107" s="134">
        <f>IF('Employee Master'!B104="","",'Employee Master'!E104)</f>
        <v/>
      </c>
      <c r="E107" s="134">
        <f>IF('Employee Master'!B104="","",'Employee Master'!F104)</f>
        <v/>
      </c>
      <c r="F107" s="134">
        <f>IF('Employee Master'!B104="","",'Employee Master'!P104)</f>
        <v/>
      </c>
      <c r="G107" s="134">
        <f>IF('Employee Master'!B104="","",'Employee Master'!J104)</f>
        <v/>
      </c>
      <c r="H107" s="134">
        <f>IF('Employee Master'!B104="","",'Employee Master'!I104)</f>
        <v/>
      </c>
      <c r="I107" s="134">
        <f>IF('Employee Master'!B104="","",'Employee Master'!K104)</f>
        <v/>
      </c>
      <c r="J107" s="134">
        <f>IF('Employee Master'!B104="","",'Employee Master'!L104)</f>
        <v/>
      </c>
      <c r="K107" s="134">
        <f>IF('Employee Master'!B104="","",'Employee Master'!T104)</f>
        <v/>
      </c>
      <c r="L107" s="134">
        <f>IF('Employee Master'!B104="","",'Employee Master'!M104)</f>
        <v/>
      </c>
      <c r="M107" s="134">
        <f>IF('Employee Master'!B104="","",'Employee Master'!N104)</f>
        <v/>
      </c>
      <c r="N107" s="134">
        <f>IF('Employee Master'!B104="","",'Employee Master'!H104)</f>
        <v/>
      </c>
      <c r="O107" s="134">
        <f>IF('Employee Master'!B104="","",'Employee Master'!AD104)</f>
        <v/>
      </c>
    </row>
    <row r="108" ht="15" customHeight="1" s="120">
      <c r="A108" s="134">
        <f>IF('Employee Master'!B105="","",IF(AND('Employee Master'!AD105="Y",OR('Employee Master'!C105="12:15 PM",'Employee Master'!C105="2:00 PM"),'Employee Master'!E105="N"),"Y","N"))</f>
        <v/>
      </c>
      <c r="B108" s="134">
        <f>IF('Employee Master'!B105="","",'Employee Master'!B105)</f>
        <v/>
      </c>
      <c r="C108" s="134">
        <f>IF('Employee Master'!B105="","",'Employee Master'!C105)</f>
        <v/>
      </c>
      <c r="D108" s="134">
        <f>IF('Employee Master'!B105="","",'Employee Master'!E105)</f>
        <v/>
      </c>
      <c r="E108" s="134">
        <f>IF('Employee Master'!B105="","",'Employee Master'!F105)</f>
        <v/>
      </c>
      <c r="F108" s="134">
        <f>IF('Employee Master'!B105="","",'Employee Master'!P105)</f>
        <v/>
      </c>
      <c r="G108" s="134">
        <f>IF('Employee Master'!B105="","",'Employee Master'!J105)</f>
        <v/>
      </c>
      <c r="H108" s="134">
        <f>IF('Employee Master'!B105="","",'Employee Master'!I105)</f>
        <v/>
      </c>
      <c r="I108" s="134">
        <f>IF('Employee Master'!B105="","",'Employee Master'!K105)</f>
        <v/>
      </c>
      <c r="J108" s="134">
        <f>IF('Employee Master'!B105="","",'Employee Master'!L105)</f>
        <v/>
      </c>
      <c r="K108" s="134">
        <f>IF('Employee Master'!B105="","",'Employee Master'!T105)</f>
        <v/>
      </c>
      <c r="L108" s="134">
        <f>IF('Employee Master'!B105="","",'Employee Master'!M105)</f>
        <v/>
      </c>
      <c r="M108" s="134">
        <f>IF('Employee Master'!B105="","",'Employee Master'!N105)</f>
        <v/>
      </c>
      <c r="N108" s="134">
        <f>IF('Employee Master'!B105="","",'Employee Master'!H105)</f>
        <v/>
      </c>
      <c r="O108" s="134">
        <f>IF('Employee Master'!B105="","",'Employee Master'!AD105)</f>
        <v/>
      </c>
    </row>
    <row r="109" ht="15" customHeight="1" s="120">
      <c r="A109" s="134">
        <f>IF('Employee Master'!B106="","",IF(AND('Employee Master'!AD106="Y",OR('Employee Master'!C106="12:15 PM",'Employee Master'!C106="2:00 PM"),'Employee Master'!E106="N"),"Y","N"))</f>
        <v/>
      </c>
      <c r="B109" s="134">
        <f>IF('Employee Master'!B106="","",'Employee Master'!B106)</f>
        <v/>
      </c>
      <c r="C109" s="134">
        <f>IF('Employee Master'!B106="","",'Employee Master'!C106)</f>
        <v/>
      </c>
      <c r="D109" s="134">
        <f>IF('Employee Master'!B106="","",'Employee Master'!E106)</f>
        <v/>
      </c>
      <c r="E109" s="134">
        <f>IF('Employee Master'!B106="","",'Employee Master'!F106)</f>
        <v/>
      </c>
      <c r="F109" s="134">
        <f>IF('Employee Master'!B106="","",'Employee Master'!P106)</f>
        <v/>
      </c>
      <c r="G109" s="134">
        <f>IF('Employee Master'!B106="","",'Employee Master'!J106)</f>
        <v/>
      </c>
      <c r="H109" s="134">
        <f>IF('Employee Master'!B106="","",'Employee Master'!I106)</f>
        <v/>
      </c>
      <c r="I109" s="134">
        <f>IF('Employee Master'!B106="","",'Employee Master'!K106)</f>
        <v/>
      </c>
      <c r="J109" s="134">
        <f>IF('Employee Master'!B106="","",'Employee Master'!L106)</f>
        <v/>
      </c>
      <c r="K109" s="134">
        <f>IF('Employee Master'!B106="","",'Employee Master'!T106)</f>
        <v/>
      </c>
      <c r="L109" s="134">
        <f>IF('Employee Master'!B106="","",'Employee Master'!M106)</f>
        <v/>
      </c>
      <c r="M109" s="134">
        <f>IF('Employee Master'!B106="","",'Employee Master'!N106)</f>
        <v/>
      </c>
      <c r="N109" s="134">
        <f>IF('Employee Master'!B106="","",'Employee Master'!H106)</f>
        <v/>
      </c>
      <c r="O109" s="134">
        <f>IF('Employee Master'!B106="","",'Employee Master'!AD106)</f>
        <v/>
      </c>
    </row>
    <row r="110" ht="15" customHeight="1" s="120">
      <c r="A110" s="134">
        <f>IF('Employee Master'!B107="","",IF(AND('Employee Master'!AD107="Y",OR('Employee Master'!C107="12:15 PM",'Employee Master'!C107="2:00 PM"),'Employee Master'!E107="N"),"Y","N"))</f>
        <v/>
      </c>
      <c r="B110" s="134">
        <f>IF('Employee Master'!B107="","",'Employee Master'!B107)</f>
        <v/>
      </c>
      <c r="C110" s="134">
        <f>IF('Employee Master'!B107="","",'Employee Master'!C107)</f>
        <v/>
      </c>
      <c r="D110" s="134">
        <f>IF('Employee Master'!B107="","",'Employee Master'!E107)</f>
        <v/>
      </c>
      <c r="E110" s="134">
        <f>IF('Employee Master'!B107="","",'Employee Master'!F107)</f>
        <v/>
      </c>
      <c r="F110" s="134">
        <f>IF('Employee Master'!B107="","",'Employee Master'!P107)</f>
        <v/>
      </c>
      <c r="G110" s="134">
        <f>IF('Employee Master'!B107="","",'Employee Master'!J107)</f>
        <v/>
      </c>
      <c r="H110" s="134">
        <f>IF('Employee Master'!B107="","",'Employee Master'!I107)</f>
        <v/>
      </c>
      <c r="I110" s="134">
        <f>IF('Employee Master'!B107="","",'Employee Master'!K107)</f>
        <v/>
      </c>
      <c r="J110" s="134">
        <f>IF('Employee Master'!B107="","",'Employee Master'!L107)</f>
        <v/>
      </c>
      <c r="K110" s="134">
        <f>IF('Employee Master'!B107="","",'Employee Master'!T107)</f>
        <v/>
      </c>
      <c r="L110" s="134">
        <f>IF('Employee Master'!B107="","",'Employee Master'!M107)</f>
        <v/>
      </c>
      <c r="M110" s="134">
        <f>IF('Employee Master'!B107="","",'Employee Master'!N107)</f>
        <v/>
      </c>
      <c r="N110" s="134">
        <f>IF('Employee Master'!B107="","",'Employee Master'!H107)</f>
        <v/>
      </c>
      <c r="O110" s="134">
        <f>IF('Employee Master'!B107="","",'Employee Master'!AD107)</f>
        <v/>
      </c>
    </row>
    <row r="111" ht="15" customHeight="1" s="120">
      <c r="A111" s="134">
        <f>IF('Employee Master'!B108="","",IF(AND('Employee Master'!AD108="Y",OR('Employee Master'!C108="12:15 PM",'Employee Master'!C108="2:00 PM"),'Employee Master'!E108="N"),"Y","N"))</f>
        <v/>
      </c>
      <c r="B111" s="134">
        <f>IF('Employee Master'!B108="","",'Employee Master'!B108)</f>
        <v/>
      </c>
      <c r="C111" s="134">
        <f>IF('Employee Master'!B108="","",'Employee Master'!C108)</f>
        <v/>
      </c>
      <c r="D111" s="134">
        <f>IF('Employee Master'!B108="","",'Employee Master'!E108)</f>
        <v/>
      </c>
      <c r="E111" s="134">
        <f>IF('Employee Master'!B108="","",'Employee Master'!F108)</f>
        <v/>
      </c>
      <c r="F111" s="134">
        <f>IF('Employee Master'!B108="","",'Employee Master'!P108)</f>
        <v/>
      </c>
      <c r="G111" s="134">
        <f>IF('Employee Master'!B108="","",'Employee Master'!J108)</f>
        <v/>
      </c>
      <c r="H111" s="134">
        <f>IF('Employee Master'!B108="","",'Employee Master'!I108)</f>
        <v/>
      </c>
      <c r="I111" s="134">
        <f>IF('Employee Master'!B108="","",'Employee Master'!K108)</f>
        <v/>
      </c>
      <c r="J111" s="134">
        <f>IF('Employee Master'!B108="","",'Employee Master'!L108)</f>
        <v/>
      </c>
      <c r="K111" s="134">
        <f>IF('Employee Master'!B108="","",'Employee Master'!T108)</f>
        <v/>
      </c>
      <c r="L111" s="134">
        <f>IF('Employee Master'!B108="","",'Employee Master'!M108)</f>
        <v/>
      </c>
      <c r="M111" s="134">
        <f>IF('Employee Master'!B108="","",'Employee Master'!N108)</f>
        <v/>
      </c>
      <c r="N111" s="134">
        <f>IF('Employee Master'!B108="","",'Employee Master'!H108)</f>
        <v/>
      </c>
      <c r="O111" s="134">
        <f>IF('Employee Master'!B108="","",'Employee Master'!AD108)</f>
        <v/>
      </c>
    </row>
    <row r="112" ht="15" customHeight="1" s="120">
      <c r="A112" s="134">
        <f>IF('Employee Master'!B109="","",IF(AND('Employee Master'!AD109="Y",OR('Employee Master'!C109="12:15 PM",'Employee Master'!C109="2:00 PM"),'Employee Master'!E109="N"),"Y","N"))</f>
        <v/>
      </c>
      <c r="B112" s="134">
        <f>IF('Employee Master'!B109="","",'Employee Master'!B109)</f>
        <v/>
      </c>
      <c r="C112" s="134">
        <f>IF('Employee Master'!B109="","",'Employee Master'!C109)</f>
        <v/>
      </c>
      <c r="D112" s="134">
        <f>IF('Employee Master'!B109="","",'Employee Master'!E109)</f>
        <v/>
      </c>
      <c r="E112" s="134">
        <f>IF('Employee Master'!B109="","",'Employee Master'!F109)</f>
        <v/>
      </c>
      <c r="F112" s="134">
        <f>IF('Employee Master'!B109="","",'Employee Master'!P109)</f>
        <v/>
      </c>
      <c r="G112" s="134">
        <f>IF('Employee Master'!B109="","",'Employee Master'!J109)</f>
        <v/>
      </c>
      <c r="H112" s="134">
        <f>IF('Employee Master'!B109="","",'Employee Master'!I109)</f>
        <v/>
      </c>
      <c r="I112" s="134">
        <f>IF('Employee Master'!B109="","",'Employee Master'!K109)</f>
        <v/>
      </c>
      <c r="J112" s="134">
        <f>IF('Employee Master'!B109="","",'Employee Master'!L109)</f>
        <v/>
      </c>
      <c r="K112" s="134">
        <f>IF('Employee Master'!B109="","",'Employee Master'!T109)</f>
        <v/>
      </c>
      <c r="L112" s="134">
        <f>IF('Employee Master'!B109="","",'Employee Master'!M109)</f>
        <v/>
      </c>
      <c r="M112" s="134">
        <f>IF('Employee Master'!B109="","",'Employee Master'!N109)</f>
        <v/>
      </c>
      <c r="N112" s="134">
        <f>IF('Employee Master'!B109="","",'Employee Master'!H109)</f>
        <v/>
      </c>
      <c r="O112" s="134">
        <f>IF('Employee Master'!B109="","",'Employee Master'!AD109)</f>
        <v/>
      </c>
    </row>
    <row r="113" ht="15" customHeight="1" s="120">
      <c r="A113" s="134">
        <f>IF('Employee Master'!B110="","",IF(AND('Employee Master'!AD110="Y",OR('Employee Master'!C110="12:15 PM",'Employee Master'!C110="2:00 PM"),'Employee Master'!E110="N"),"Y","N"))</f>
        <v/>
      </c>
      <c r="B113" s="134">
        <f>IF('Employee Master'!B110="","",'Employee Master'!B110)</f>
        <v/>
      </c>
      <c r="C113" s="134">
        <f>IF('Employee Master'!B110="","",'Employee Master'!C110)</f>
        <v/>
      </c>
      <c r="D113" s="134">
        <f>IF('Employee Master'!B110="","",'Employee Master'!E110)</f>
        <v/>
      </c>
      <c r="E113" s="134">
        <f>IF('Employee Master'!B110="","",'Employee Master'!F110)</f>
        <v/>
      </c>
      <c r="F113" s="134">
        <f>IF('Employee Master'!B110="","",'Employee Master'!P110)</f>
        <v/>
      </c>
      <c r="G113" s="134">
        <f>IF('Employee Master'!B110="","",'Employee Master'!J110)</f>
        <v/>
      </c>
      <c r="H113" s="134">
        <f>IF('Employee Master'!B110="","",'Employee Master'!I110)</f>
        <v/>
      </c>
      <c r="I113" s="134">
        <f>IF('Employee Master'!B110="","",'Employee Master'!K110)</f>
        <v/>
      </c>
      <c r="J113" s="134">
        <f>IF('Employee Master'!B110="","",'Employee Master'!L110)</f>
        <v/>
      </c>
      <c r="K113" s="134">
        <f>IF('Employee Master'!B110="","",'Employee Master'!T110)</f>
        <v/>
      </c>
      <c r="L113" s="134">
        <f>IF('Employee Master'!B110="","",'Employee Master'!M110)</f>
        <v/>
      </c>
      <c r="M113" s="134">
        <f>IF('Employee Master'!B110="","",'Employee Master'!N110)</f>
        <v/>
      </c>
      <c r="N113" s="134">
        <f>IF('Employee Master'!B110="","",'Employee Master'!H110)</f>
        <v/>
      </c>
      <c r="O113" s="134">
        <f>IF('Employee Master'!B110="","",'Employee Master'!AD110)</f>
        <v/>
      </c>
    </row>
    <row r="114" ht="15" customHeight="1" s="120">
      <c r="A114" s="134">
        <f>IF('Employee Master'!B111="","",IF(AND('Employee Master'!AD111="Y",OR('Employee Master'!C111="12:15 PM",'Employee Master'!C111="2:00 PM"),'Employee Master'!E111="N"),"Y","N"))</f>
        <v/>
      </c>
      <c r="B114" s="134">
        <f>IF('Employee Master'!B111="","",'Employee Master'!B111)</f>
        <v/>
      </c>
      <c r="C114" s="134">
        <f>IF('Employee Master'!B111="","",'Employee Master'!C111)</f>
        <v/>
      </c>
      <c r="D114" s="134">
        <f>IF('Employee Master'!B111="","",'Employee Master'!E111)</f>
        <v/>
      </c>
      <c r="E114" s="134">
        <f>IF('Employee Master'!B111="","",'Employee Master'!F111)</f>
        <v/>
      </c>
      <c r="F114" s="134">
        <f>IF('Employee Master'!B111="","",'Employee Master'!P111)</f>
        <v/>
      </c>
      <c r="G114" s="134">
        <f>IF('Employee Master'!B111="","",'Employee Master'!J111)</f>
        <v/>
      </c>
      <c r="H114" s="134">
        <f>IF('Employee Master'!B111="","",'Employee Master'!I111)</f>
        <v/>
      </c>
      <c r="I114" s="134">
        <f>IF('Employee Master'!B111="","",'Employee Master'!K111)</f>
        <v/>
      </c>
      <c r="J114" s="134">
        <f>IF('Employee Master'!B111="","",'Employee Master'!L111)</f>
        <v/>
      </c>
      <c r="K114" s="134">
        <f>IF('Employee Master'!B111="","",'Employee Master'!T111)</f>
        <v/>
      </c>
      <c r="L114" s="134">
        <f>IF('Employee Master'!B111="","",'Employee Master'!M111)</f>
        <v/>
      </c>
      <c r="M114" s="134">
        <f>IF('Employee Master'!B111="","",'Employee Master'!N111)</f>
        <v/>
      </c>
      <c r="N114" s="134">
        <f>IF('Employee Master'!B111="","",'Employee Master'!H111)</f>
        <v/>
      </c>
      <c r="O114" s="134">
        <f>IF('Employee Master'!B111="","",'Employee Master'!AD111)</f>
        <v/>
      </c>
    </row>
    <row r="115" ht="15" customHeight="1" s="120">
      <c r="A115" s="134">
        <f>IF('Employee Master'!B112="","",IF(AND('Employee Master'!AD112="Y",OR('Employee Master'!C112="12:15 PM",'Employee Master'!C112="2:00 PM"),'Employee Master'!E112="N"),"Y","N"))</f>
        <v/>
      </c>
      <c r="B115" s="134">
        <f>IF('Employee Master'!B112="","",'Employee Master'!B112)</f>
        <v/>
      </c>
      <c r="C115" s="134">
        <f>IF('Employee Master'!B112="","",'Employee Master'!C112)</f>
        <v/>
      </c>
      <c r="D115" s="134">
        <f>IF('Employee Master'!B112="","",'Employee Master'!E112)</f>
        <v/>
      </c>
      <c r="E115" s="134">
        <f>IF('Employee Master'!B112="","",'Employee Master'!F112)</f>
        <v/>
      </c>
      <c r="F115" s="134">
        <f>IF('Employee Master'!B112="","",'Employee Master'!P112)</f>
        <v/>
      </c>
      <c r="G115" s="134">
        <f>IF('Employee Master'!B112="","",'Employee Master'!J112)</f>
        <v/>
      </c>
      <c r="H115" s="134">
        <f>IF('Employee Master'!B112="","",'Employee Master'!I112)</f>
        <v/>
      </c>
      <c r="I115" s="134">
        <f>IF('Employee Master'!B112="","",'Employee Master'!K112)</f>
        <v/>
      </c>
      <c r="J115" s="134">
        <f>IF('Employee Master'!B112="","",'Employee Master'!L112)</f>
        <v/>
      </c>
      <c r="K115" s="134">
        <f>IF('Employee Master'!B112="","",'Employee Master'!T112)</f>
        <v/>
      </c>
      <c r="L115" s="134">
        <f>IF('Employee Master'!B112="","",'Employee Master'!M112)</f>
        <v/>
      </c>
      <c r="M115" s="134">
        <f>IF('Employee Master'!B112="","",'Employee Master'!N112)</f>
        <v/>
      </c>
      <c r="N115" s="134">
        <f>IF('Employee Master'!B112="","",'Employee Master'!H112)</f>
        <v/>
      </c>
      <c r="O115" s="134">
        <f>IF('Employee Master'!B112="","",'Employee Master'!AD112)</f>
        <v/>
      </c>
    </row>
    <row r="116" ht="15" customHeight="1" s="120">
      <c r="A116" s="134">
        <f>IF('Employee Master'!B113="","",IF(AND('Employee Master'!AD113="Y",OR('Employee Master'!C113="12:15 PM",'Employee Master'!C113="2:00 PM"),'Employee Master'!E113="N"),"Y","N"))</f>
        <v/>
      </c>
      <c r="B116" s="134">
        <f>IF('Employee Master'!B113="","",'Employee Master'!B113)</f>
        <v/>
      </c>
      <c r="C116" s="134">
        <f>IF('Employee Master'!B113="","",'Employee Master'!C113)</f>
        <v/>
      </c>
      <c r="D116" s="134">
        <f>IF('Employee Master'!B113="","",'Employee Master'!E113)</f>
        <v/>
      </c>
      <c r="E116" s="134">
        <f>IF('Employee Master'!B113="","",'Employee Master'!F113)</f>
        <v/>
      </c>
      <c r="F116" s="134">
        <f>IF('Employee Master'!B113="","",'Employee Master'!P113)</f>
        <v/>
      </c>
      <c r="G116" s="134">
        <f>IF('Employee Master'!B113="","",'Employee Master'!J113)</f>
        <v/>
      </c>
      <c r="H116" s="134">
        <f>IF('Employee Master'!B113="","",'Employee Master'!I113)</f>
        <v/>
      </c>
      <c r="I116" s="134">
        <f>IF('Employee Master'!B113="","",'Employee Master'!K113)</f>
        <v/>
      </c>
      <c r="J116" s="134">
        <f>IF('Employee Master'!B113="","",'Employee Master'!L113)</f>
        <v/>
      </c>
      <c r="K116" s="134">
        <f>IF('Employee Master'!B113="","",'Employee Master'!T113)</f>
        <v/>
      </c>
      <c r="L116" s="134">
        <f>IF('Employee Master'!B113="","",'Employee Master'!M113)</f>
        <v/>
      </c>
      <c r="M116" s="134">
        <f>IF('Employee Master'!B113="","",'Employee Master'!N113)</f>
        <v/>
      </c>
      <c r="N116" s="134">
        <f>IF('Employee Master'!B113="","",'Employee Master'!H113)</f>
        <v/>
      </c>
      <c r="O116" s="134">
        <f>IF('Employee Master'!B113="","",'Employee Master'!AD113)</f>
        <v/>
      </c>
    </row>
    <row r="117" ht="15" customHeight="1" s="120">
      <c r="A117" s="134">
        <f>IF('Employee Master'!B114="","",IF(AND('Employee Master'!AD114="Y",OR('Employee Master'!C114="12:15 PM",'Employee Master'!C114="2:00 PM"),'Employee Master'!E114="N"),"Y","N"))</f>
        <v/>
      </c>
      <c r="B117" s="134">
        <f>IF('Employee Master'!B114="","",'Employee Master'!B114)</f>
        <v/>
      </c>
      <c r="C117" s="134">
        <f>IF('Employee Master'!B114="","",'Employee Master'!C114)</f>
        <v/>
      </c>
      <c r="D117" s="134">
        <f>IF('Employee Master'!B114="","",'Employee Master'!E114)</f>
        <v/>
      </c>
      <c r="E117" s="134">
        <f>IF('Employee Master'!B114="","",'Employee Master'!F114)</f>
        <v/>
      </c>
      <c r="F117" s="134">
        <f>IF('Employee Master'!B114="","",'Employee Master'!P114)</f>
        <v/>
      </c>
      <c r="G117" s="134">
        <f>IF('Employee Master'!B114="","",'Employee Master'!J114)</f>
        <v/>
      </c>
      <c r="H117" s="134">
        <f>IF('Employee Master'!B114="","",'Employee Master'!I114)</f>
        <v/>
      </c>
      <c r="I117" s="134">
        <f>IF('Employee Master'!B114="","",'Employee Master'!K114)</f>
        <v/>
      </c>
      <c r="J117" s="134">
        <f>IF('Employee Master'!B114="","",'Employee Master'!L114)</f>
        <v/>
      </c>
      <c r="K117" s="134">
        <f>IF('Employee Master'!B114="","",'Employee Master'!T114)</f>
        <v/>
      </c>
      <c r="L117" s="134">
        <f>IF('Employee Master'!B114="","",'Employee Master'!M114)</f>
        <v/>
      </c>
      <c r="M117" s="134">
        <f>IF('Employee Master'!B114="","",'Employee Master'!N114)</f>
        <v/>
      </c>
      <c r="N117" s="134">
        <f>IF('Employee Master'!B114="","",'Employee Master'!H114)</f>
        <v/>
      </c>
      <c r="O117" s="134">
        <f>IF('Employee Master'!B114="","",'Employee Master'!AD114)</f>
        <v/>
      </c>
    </row>
    <row r="118" ht="15" customHeight="1" s="120">
      <c r="A118" s="134">
        <f>IF('Employee Master'!B115="","",IF(AND('Employee Master'!AD115="Y",OR('Employee Master'!C115="12:15 PM",'Employee Master'!C115="2:00 PM"),'Employee Master'!E115="N"),"Y","N"))</f>
        <v/>
      </c>
      <c r="B118" s="134">
        <f>IF('Employee Master'!B115="","",'Employee Master'!B115)</f>
        <v/>
      </c>
      <c r="C118" s="134">
        <f>IF('Employee Master'!B115="","",'Employee Master'!C115)</f>
        <v/>
      </c>
      <c r="D118" s="134">
        <f>IF('Employee Master'!B115="","",'Employee Master'!E115)</f>
        <v/>
      </c>
      <c r="E118" s="134">
        <f>IF('Employee Master'!B115="","",'Employee Master'!F115)</f>
        <v/>
      </c>
      <c r="F118" s="134">
        <f>IF('Employee Master'!B115="","",'Employee Master'!P115)</f>
        <v/>
      </c>
      <c r="G118" s="134">
        <f>IF('Employee Master'!B115="","",'Employee Master'!J115)</f>
        <v/>
      </c>
      <c r="H118" s="134">
        <f>IF('Employee Master'!B115="","",'Employee Master'!I115)</f>
        <v/>
      </c>
      <c r="I118" s="134">
        <f>IF('Employee Master'!B115="","",'Employee Master'!K115)</f>
        <v/>
      </c>
      <c r="J118" s="134">
        <f>IF('Employee Master'!B115="","",'Employee Master'!L115)</f>
        <v/>
      </c>
      <c r="K118" s="134">
        <f>IF('Employee Master'!B115="","",'Employee Master'!T115)</f>
        <v/>
      </c>
      <c r="L118" s="134">
        <f>IF('Employee Master'!B115="","",'Employee Master'!M115)</f>
        <v/>
      </c>
      <c r="M118" s="134">
        <f>IF('Employee Master'!B115="","",'Employee Master'!N115)</f>
        <v/>
      </c>
      <c r="N118" s="134">
        <f>IF('Employee Master'!B115="","",'Employee Master'!H115)</f>
        <v/>
      </c>
      <c r="O118" s="134">
        <f>IF('Employee Master'!B115="","",'Employee Master'!AD115)</f>
        <v/>
      </c>
    </row>
    <row r="119" ht="15" customHeight="1" s="120">
      <c r="A119" s="134">
        <f>IF('Employee Master'!B116="","",IF(AND('Employee Master'!AD116="Y",OR('Employee Master'!C116="12:15 PM",'Employee Master'!C116="2:00 PM"),'Employee Master'!E116="N"),"Y","N"))</f>
        <v/>
      </c>
      <c r="B119" s="134">
        <f>IF('Employee Master'!B116="","",'Employee Master'!B116)</f>
        <v/>
      </c>
      <c r="C119" s="134">
        <f>IF('Employee Master'!B116="","",'Employee Master'!C116)</f>
        <v/>
      </c>
      <c r="D119" s="134">
        <f>IF('Employee Master'!B116="","",'Employee Master'!E116)</f>
        <v/>
      </c>
      <c r="E119" s="134">
        <f>IF('Employee Master'!B116="","",'Employee Master'!F116)</f>
        <v/>
      </c>
      <c r="F119" s="134">
        <f>IF('Employee Master'!B116="","",'Employee Master'!P116)</f>
        <v/>
      </c>
      <c r="G119" s="134">
        <f>IF('Employee Master'!B116="","",'Employee Master'!J116)</f>
        <v/>
      </c>
      <c r="H119" s="134">
        <f>IF('Employee Master'!B116="","",'Employee Master'!I116)</f>
        <v/>
      </c>
      <c r="I119" s="134">
        <f>IF('Employee Master'!B116="","",'Employee Master'!K116)</f>
        <v/>
      </c>
      <c r="J119" s="134">
        <f>IF('Employee Master'!B116="","",'Employee Master'!L116)</f>
        <v/>
      </c>
      <c r="K119" s="134">
        <f>IF('Employee Master'!B116="","",'Employee Master'!T116)</f>
        <v/>
      </c>
      <c r="L119" s="134">
        <f>IF('Employee Master'!B116="","",'Employee Master'!M116)</f>
        <v/>
      </c>
      <c r="M119" s="134">
        <f>IF('Employee Master'!B116="","",'Employee Master'!N116)</f>
        <v/>
      </c>
      <c r="N119" s="134">
        <f>IF('Employee Master'!B116="","",'Employee Master'!H116)</f>
        <v/>
      </c>
      <c r="O119" s="134">
        <f>IF('Employee Master'!B116="","",'Employee Master'!AD116)</f>
        <v/>
      </c>
    </row>
    <row r="120" ht="15" customHeight="1" s="120">
      <c r="A120" s="134">
        <f>IF('Employee Master'!B117="","",IF(AND('Employee Master'!AD117="Y",OR('Employee Master'!C117="12:15 PM",'Employee Master'!C117="2:00 PM"),'Employee Master'!E117="N"),"Y","N"))</f>
        <v/>
      </c>
      <c r="B120" s="134">
        <f>IF('Employee Master'!B117="","",'Employee Master'!B117)</f>
        <v/>
      </c>
      <c r="C120" s="134">
        <f>IF('Employee Master'!B117="","",'Employee Master'!C117)</f>
        <v/>
      </c>
      <c r="D120" s="134">
        <f>IF('Employee Master'!B117="","",'Employee Master'!E117)</f>
        <v/>
      </c>
      <c r="E120" s="134">
        <f>IF('Employee Master'!B117="","",'Employee Master'!F117)</f>
        <v/>
      </c>
      <c r="F120" s="134">
        <f>IF('Employee Master'!B117="","",'Employee Master'!P117)</f>
        <v/>
      </c>
      <c r="G120" s="134">
        <f>IF('Employee Master'!B117="","",'Employee Master'!J117)</f>
        <v/>
      </c>
      <c r="H120" s="134">
        <f>IF('Employee Master'!B117="","",'Employee Master'!I117)</f>
        <v/>
      </c>
      <c r="I120" s="134">
        <f>IF('Employee Master'!B117="","",'Employee Master'!K117)</f>
        <v/>
      </c>
      <c r="J120" s="134">
        <f>IF('Employee Master'!B117="","",'Employee Master'!L117)</f>
        <v/>
      </c>
      <c r="K120" s="134">
        <f>IF('Employee Master'!B117="","",'Employee Master'!T117)</f>
        <v/>
      </c>
      <c r="L120" s="134">
        <f>IF('Employee Master'!B117="","",'Employee Master'!M117)</f>
        <v/>
      </c>
      <c r="M120" s="134">
        <f>IF('Employee Master'!B117="","",'Employee Master'!N117)</f>
        <v/>
      </c>
      <c r="N120" s="134">
        <f>IF('Employee Master'!B117="","",'Employee Master'!H117)</f>
        <v/>
      </c>
      <c r="O120" s="134">
        <f>IF('Employee Master'!B117="","",'Employee Master'!AD117)</f>
        <v/>
      </c>
    </row>
    <row r="121" ht="15" customHeight="1" s="120">
      <c r="A121" s="134">
        <f>IF('Employee Master'!B118="","",IF(AND('Employee Master'!AD118="Y",OR('Employee Master'!C118="12:15 PM",'Employee Master'!C118="2:00 PM"),'Employee Master'!E118="N"),"Y","N"))</f>
        <v/>
      </c>
      <c r="B121" s="134">
        <f>IF('Employee Master'!B118="","",'Employee Master'!B118)</f>
        <v/>
      </c>
      <c r="C121" s="134">
        <f>IF('Employee Master'!B118="","",'Employee Master'!C118)</f>
        <v/>
      </c>
      <c r="D121" s="134">
        <f>IF('Employee Master'!B118="","",'Employee Master'!E118)</f>
        <v/>
      </c>
      <c r="E121" s="134">
        <f>IF('Employee Master'!B118="","",'Employee Master'!F118)</f>
        <v/>
      </c>
      <c r="F121" s="134">
        <f>IF('Employee Master'!B118="","",'Employee Master'!P118)</f>
        <v/>
      </c>
      <c r="G121" s="134">
        <f>IF('Employee Master'!B118="","",'Employee Master'!J118)</f>
        <v/>
      </c>
      <c r="H121" s="134">
        <f>IF('Employee Master'!B118="","",'Employee Master'!I118)</f>
        <v/>
      </c>
      <c r="I121" s="134">
        <f>IF('Employee Master'!B118="","",'Employee Master'!K118)</f>
        <v/>
      </c>
      <c r="J121" s="134">
        <f>IF('Employee Master'!B118="","",'Employee Master'!L118)</f>
        <v/>
      </c>
      <c r="K121" s="134">
        <f>IF('Employee Master'!B118="","",'Employee Master'!T118)</f>
        <v/>
      </c>
      <c r="L121" s="134">
        <f>IF('Employee Master'!B118="","",'Employee Master'!M118)</f>
        <v/>
      </c>
      <c r="M121" s="134">
        <f>IF('Employee Master'!B118="","",'Employee Master'!N118)</f>
        <v/>
      </c>
      <c r="N121" s="134">
        <f>IF('Employee Master'!B118="","",'Employee Master'!H118)</f>
        <v/>
      </c>
      <c r="O121" s="134">
        <f>IF('Employee Master'!B118="","",'Employee Master'!AD118)</f>
        <v/>
      </c>
    </row>
    <row r="122" ht="15" customHeight="1" s="120">
      <c r="A122" s="134">
        <f>IF('Employee Master'!B119="","",IF(AND('Employee Master'!AD119="Y",OR('Employee Master'!C119="12:15 PM",'Employee Master'!C119="2:00 PM"),'Employee Master'!E119="N"),"Y","N"))</f>
        <v/>
      </c>
      <c r="B122" s="134">
        <f>IF('Employee Master'!B119="","",'Employee Master'!B119)</f>
        <v/>
      </c>
      <c r="C122" s="134">
        <f>IF('Employee Master'!B119="","",'Employee Master'!C119)</f>
        <v/>
      </c>
      <c r="D122" s="134">
        <f>IF('Employee Master'!B119="","",'Employee Master'!E119)</f>
        <v/>
      </c>
      <c r="E122" s="134">
        <f>IF('Employee Master'!B119="","",'Employee Master'!F119)</f>
        <v/>
      </c>
      <c r="F122" s="134">
        <f>IF('Employee Master'!B119="","",'Employee Master'!P119)</f>
        <v/>
      </c>
      <c r="G122" s="134">
        <f>IF('Employee Master'!B119="","",'Employee Master'!J119)</f>
        <v/>
      </c>
      <c r="H122" s="134">
        <f>IF('Employee Master'!B119="","",'Employee Master'!I119)</f>
        <v/>
      </c>
      <c r="I122" s="134">
        <f>IF('Employee Master'!B119="","",'Employee Master'!K119)</f>
        <v/>
      </c>
      <c r="J122" s="134">
        <f>IF('Employee Master'!B119="","",'Employee Master'!L119)</f>
        <v/>
      </c>
      <c r="K122" s="134">
        <f>IF('Employee Master'!B119="","",'Employee Master'!T119)</f>
        <v/>
      </c>
      <c r="L122" s="134">
        <f>IF('Employee Master'!B119="","",'Employee Master'!M119)</f>
        <v/>
      </c>
      <c r="M122" s="134">
        <f>IF('Employee Master'!B119="","",'Employee Master'!N119)</f>
        <v/>
      </c>
      <c r="N122" s="134">
        <f>IF('Employee Master'!B119="","",'Employee Master'!H119)</f>
        <v/>
      </c>
      <c r="O122" s="134">
        <f>IF('Employee Master'!B119="","",'Employee Master'!AD119)</f>
        <v/>
      </c>
    </row>
    <row r="123" ht="15" customHeight="1" s="120">
      <c r="A123" s="134">
        <f>IF('Employee Master'!B120="","",IF(AND('Employee Master'!AD120="Y",OR('Employee Master'!C120="12:15 PM",'Employee Master'!C120="2:00 PM"),'Employee Master'!E120="N"),"Y","N"))</f>
        <v/>
      </c>
      <c r="B123" s="134">
        <f>IF('Employee Master'!B120="","",'Employee Master'!B120)</f>
        <v/>
      </c>
      <c r="C123" s="134">
        <f>IF('Employee Master'!B120="","",'Employee Master'!C120)</f>
        <v/>
      </c>
      <c r="D123" s="134">
        <f>IF('Employee Master'!B120="","",'Employee Master'!E120)</f>
        <v/>
      </c>
      <c r="E123" s="134">
        <f>IF('Employee Master'!B120="","",'Employee Master'!F120)</f>
        <v/>
      </c>
      <c r="F123" s="134">
        <f>IF('Employee Master'!B120="","",'Employee Master'!P120)</f>
        <v/>
      </c>
      <c r="G123" s="134">
        <f>IF('Employee Master'!B120="","",'Employee Master'!J120)</f>
        <v/>
      </c>
      <c r="H123" s="134">
        <f>IF('Employee Master'!B120="","",'Employee Master'!I120)</f>
        <v/>
      </c>
      <c r="I123" s="134">
        <f>IF('Employee Master'!B120="","",'Employee Master'!K120)</f>
        <v/>
      </c>
      <c r="J123" s="134">
        <f>IF('Employee Master'!B120="","",'Employee Master'!L120)</f>
        <v/>
      </c>
      <c r="K123" s="134">
        <f>IF('Employee Master'!B120="","",'Employee Master'!T120)</f>
        <v/>
      </c>
      <c r="L123" s="134">
        <f>IF('Employee Master'!B120="","",'Employee Master'!M120)</f>
        <v/>
      </c>
      <c r="M123" s="134">
        <f>IF('Employee Master'!B120="","",'Employee Master'!N120)</f>
        <v/>
      </c>
      <c r="N123" s="134">
        <f>IF('Employee Master'!B120="","",'Employee Master'!H120)</f>
        <v/>
      </c>
      <c r="O123" s="134">
        <f>IF('Employee Master'!B120="","",'Employee Master'!AD120)</f>
        <v/>
      </c>
    </row>
    <row r="124" ht="15" customHeight="1" s="120">
      <c r="A124" s="134">
        <f>IF('Employee Master'!B121="","",IF(AND('Employee Master'!AD121="Y",OR('Employee Master'!C121="12:15 PM",'Employee Master'!C121="2:00 PM"),'Employee Master'!E121="N"),"Y","N"))</f>
        <v/>
      </c>
      <c r="B124" s="134">
        <f>IF('Employee Master'!B121="","",'Employee Master'!B121)</f>
        <v/>
      </c>
      <c r="C124" s="134">
        <f>IF('Employee Master'!B121="","",'Employee Master'!C121)</f>
        <v/>
      </c>
      <c r="D124" s="134">
        <f>IF('Employee Master'!B121="","",'Employee Master'!E121)</f>
        <v/>
      </c>
      <c r="E124" s="134">
        <f>IF('Employee Master'!B121="","",'Employee Master'!F121)</f>
        <v/>
      </c>
      <c r="F124" s="134">
        <f>IF('Employee Master'!B121="","",'Employee Master'!P121)</f>
        <v/>
      </c>
      <c r="G124" s="134">
        <f>IF('Employee Master'!B121="","",'Employee Master'!J121)</f>
        <v/>
      </c>
      <c r="H124" s="134">
        <f>IF('Employee Master'!B121="","",'Employee Master'!I121)</f>
        <v/>
      </c>
      <c r="I124" s="134">
        <f>IF('Employee Master'!B121="","",'Employee Master'!K121)</f>
        <v/>
      </c>
      <c r="J124" s="134">
        <f>IF('Employee Master'!B121="","",'Employee Master'!L121)</f>
        <v/>
      </c>
      <c r="K124" s="134">
        <f>IF('Employee Master'!B121="","",'Employee Master'!T121)</f>
        <v/>
      </c>
      <c r="L124" s="134">
        <f>IF('Employee Master'!B121="","",'Employee Master'!M121)</f>
        <v/>
      </c>
      <c r="M124" s="134">
        <f>IF('Employee Master'!B121="","",'Employee Master'!N121)</f>
        <v/>
      </c>
      <c r="N124" s="134">
        <f>IF('Employee Master'!B121="","",'Employee Master'!H121)</f>
        <v/>
      </c>
      <c r="O124" s="134">
        <f>IF('Employee Master'!B121="","",'Employee Master'!AD121)</f>
        <v/>
      </c>
    </row>
    <row r="125" ht="15" customHeight="1" s="120">
      <c r="A125" s="134">
        <f>IF('Employee Master'!B122="","",IF(AND('Employee Master'!AD122="Y",OR('Employee Master'!C122="12:15 PM",'Employee Master'!C122="2:00 PM"),'Employee Master'!E122="N"),"Y","N"))</f>
        <v/>
      </c>
      <c r="B125" s="134">
        <f>IF('Employee Master'!B122="","",'Employee Master'!B122)</f>
        <v/>
      </c>
      <c r="C125" s="134">
        <f>IF('Employee Master'!B122="","",'Employee Master'!C122)</f>
        <v/>
      </c>
      <c r="D125" s="134">
        <f>IF('Employee Master'!B122="","",'Employee Master'!E122)</f>
        <v/>
      </c>
      <c r="E125" s="134">
        <f>IF('Employee Master'!B122="","",'Employee Master'!F122)</f>
        <v/>
      </c>
      <c r="F125" s="134">
        <f>IF('Employee Master'!B122="","",'Employee Master'!P122)</f>
        <v/>
      </c>
      <c r="G125" s="134">
        <f>IF('Employee Master'!B122="","",'Employee Master'!J122)</f>
        <v/>
      </c>
      <c r="H125" s="134">
        <f>IF('Employee Master'!B122="","",'Employee Master'!I122)</f>
        <v/>
      </c>
      <c r="I125" s="134">
        <f>IF('Employee Master'!B122="","",'Employee Master'!K122)</f>
        <v/>
      </c>
      <c r="J125" s="134">
        <f>IF('Employee Master'!B122="","",'Employee Master'!L122)</f>
        <v/>
      </c>
      <c r="K125" s="134">
        <f>IF('Employee Master'!B122="","",'Employee Master'!T122)</f>
        <v/>
      </c>
      <c r="L125" s="134">
        <f>IF('Employee Master'!B122="","",'Employee Master'!M122)</f>
        <v/>
      </c>
      <c r="M125" s="134">
        <f>IF('Employee Master'!B122="","",'Employee Master'!N122)</f>
        <v/>
      </c>
      <c r="N125" s="134">
        <f>IF('Employee Master'!B122="","",'Employee Master'!H122)</f>
        <v/>
      </c>
      <c r="O125" s="134">
        <f>IF('Employee Master'!B122="","",'Employee Master'!AD122)</f>
        <v/>
      </c>
    </row>
    <row r="126" ht="15" customHeight="1" s="120">
      <c r="A126" s="134">
        <f>IF('Employee Master'!B123="","",IF(AND('Employee Master'!AD123="Y",OR('Employee Master'!C123="12:15 PM",'Employee Master'!C123="2:00 PM"),'Employee Master'!E123="N"),"Y","N"))</f>
        <v/>
      </c>
      <c r="B126" s="134">
        <f>IF('Employee Master'!B123="","",'Employee Master'!B123)</f>
        <v/>
      </c>
      <c r="C126" s="134">
        <f>IF('Employee Master'!B123="","",'Employee Master'!C123)</f>
        <v/>
      </c>
      <c r="D126" s="134">
        <f>IF('Employee Master'!B123="","",'Employee Master'!E123)</f>
        <v/>
      </c>
      <c r="E126" s="134">
        <f>IF('Employee Master'!B123="","",'Employee Master'!F123)</f>
        <v/>
      </c>
      <c r="F126" s="134">
        <f>IF('Employee Master'!B123="","",'Employee Master'!P123)</f>
        <v/>
      </c>
      <c r="G126" s="134">
        <f>IF('Employee Master'!B123="","",'Employee Master'!J123)</f>
        <v/>
      </c>
      <c r="H126" s="134">
        <f>IF('Employee Master'!B123="","",'Employee Master'!I123)</f>
        <v/>
      </c>
      <c r="I126" s="134">
        <f>IF('Employee Master'!B123="","",'Employee Master'!K123)</f>
        <v/>
      </c>
      <c r="J126" s="134">
        <f>IF('Employee Master'!B123="","",'Employee Master'!L123)</f>
        <v/>
      </c>
      <c r="K126" s="134">
        <f>IF('Employee Master'!B123="","",'Employee Master'!T123)</f>
        <v/>
      </c>
      <c r="L126" s="134">
        <f>IF('Employee Master'!B123="","",'Employee Master'!M123)</f>
        <v/>
      </c>
      <c r="M126" s="134">
        <f>IF('Employee Master'!B123="","",'Employee Master'!N123)</f>
        <v/>
      </c>
      <c r="N126" s="134">
        <f>IF('Employee Master'!B123="","",'Employee Master'!H123)</f>
        <v/>
      </c>
      <c r="O126" s="134">
        <f>IF('Employee Master'!B123="","",'Employee Master'!AD123)</f>
        <v/>
      </c>
    </row>
    <row r="127" ht="15" customHeight="1" s="120">
      <c r="A127" s="134">
        <f>IF('Employee Master'!B124="","",IF(AND('Employee Master'!AD124="Y",OR('Employee Master'!C124="12:15 PM",'Employee Master'!C124="2:00 PM"),'Employee Master'!E124="N"),"Y","N"))</f>
        <v/>
      </c>
      <c r="B127" s="134">
        <f>IF('Employee Master'!B124="","",'Employee Master'!B124)</f>
        <v/>
      </c>
      <c r="C127" s="134">
        <f>IF('Employee Master'!B124="","",'Employee Master'!C124)</f>
        <v/>
      </c>
      <c r="D127" s="134">
        <f>IF('Employee Master'!B124="","",'Employee Master'!E124)</f>
        <v/>
      </c>
      <c r="E127" s="134">
        <f>IF('Employee Master'!B124="","",'Employee Master'!F124)</f>
        <v/>
      </c>
      <c r="F127" s="134">
        <f>IF('Employee Master'!B124="","",'Employee Master'!P124)</f>
        <v/>
      </c>
      <c r="G127" s="134">
        <f>IF('Employee Master'!B124="","",'Employee Master'!J124)</f>
        <v/>
      </c>
      <c r="H127" s="134">
        <f>IF('Employee Master'!B124="","",'Employee Master'!I124)</f>
        <v/>
      </c>
      <c r="I127" s="134">
        <f>IF('Employee Master'!B124="","",'Employee Master'!K124)</f>
        <v/>
      </c>
      <c r="J127" s="134">
        <f>IF('Employee Master'!B124="","",'Employee Master'!L124)</f>
        <v/>
      </c>
      <c r="K127" s="134">
        <f>IF('Employee Master'!B124="","",'Employee Master'!T124)</f>
        <v/>
      </c>
      <c r="L127" s="134">
        <f>IF('Employee Master'!B124="","",'Employee Master'!M124)</f>
        <v/>
      </c>
      <c r="M127" s="134">
        <f>IF('Employee Master'!B124="","",'Employee Master'!N124)</f>
        <v/>
      </c>
      <c r="N127" s="134">
        <f>IF('Employee Master'!B124="","",'Employee Master'!H124)</f>
        <v/>
      </c>
      <c r="O127" s="134">
        <f>IF('Employee Master'!B124="","",'Employee Master'!AD124)</f>
        <v/>
      </c>
    </row>
    <row r="128" ht="15" customHeight="1" s="120">
      <c r="A128" s="134">
        <f>IF('Employee Master'!B125="","",IF(AND('Employee Master'!AD125="Y",OR('Employee Master'!C125="12:15 PM",'Employee Master'!C125="2:00 PM"),'Employee Master'!E125="N"),"Y","N"))</f>
        <v/>
      </c>
      <c r="B128" s="134">
        <f>IF('Employee Master'!B125="","",'Employee Master'!B125)</f>
        <v/>
      </c>
      <c r="C128" s="134">
        <f>IF('Employee Master'!B125="","",'Employee Master'!C125)</f>
        <v/>
      </c>
      <c r="D128" s="134">
        <f>IF('Employee Master'!B125="","",'Employee Master'!E125)</f>
        <v/>
      </c>
      <c r="E128" s="134">
        <f>IF('Employee Master'!B125="","",'Employee Master'!F125)</f>
        <v/>
      </c>
      <c r="F128" s="134">
        <f>IF('Employee Master'!B125="","",'Employee Master'!P125)</f>
        <v/>
      </c>
      <c r="G128" s="134">
        <f>IF('Employee Master'!B125="","",'Employee Master'!J125)</f>
        <v/>
      </c>
      <c r="H128" s="134">
        <f>IF('Employee Master'!B125="","",'Employee Master'!I125)</f>
        <v/>
      </c>
      <c r="I128" s="134">
        <f>IF('Employee Master'!B125="","",'Employee Master'!K125)</f>
        <v/>
      </c>
      <c r="J128" s="134">
        <f>IF('Employee Master'!B125="","",'Employee Master'!L125)</f>
        <v/>
      </c>
      <c r="K128" s="134">
        <f>IF('Employee Master'!B125="","",'Employee Master'!T125)</f>
        <v/>
      </c>
      <c r="L128" s="134">
        <f>IF('Employee Master'!B125="","",'Employee Master'!M125)</f>
        <v/>
      </c>
      <c r="M128" s="134">
        <f>IF('Employee Master'!B125="","",'Employee Master'!N125)</f>
        <v/>
      </c>
      <c r="N128" s="134">
        <f>IF('Employee Master'!B125="","",'Employee Master'!H125)</f>
        <v/>
      </c>
      <c r="O128" s="134">
        <f>IF('Employee Master'!B125="","",'Employee Master'!AD125)</f>
        <v/>
      </c>
    </row>
    <row r="129" ht="15" customHeight="1" s="120">
      <c r="A129" s="134">
        <f>IF('Employee Master'!B126="","",IF(AND('Employee Master'!AD126="Y",OR('Employee Master'!C126="12:15 PM",'Employee Master'!C126="2:00 PM"),'Employee Master'!E126="N"),"Y","N"))</f>
        <v/>
      </c>
      <c r="B129" s="134">
        <f>IF('Employee Master'!B126="","",'Employee Master'!B126)</f>
        <v/>
      </c>
      <c r="C129" s="134">
        <f>IF('Employee Master'!B126="","",'Employee Master'!C126)</f>
        <v/>
      </c>
      <c r="D129" s="134">
        <f>IF('Employee Master'!B126="","",'Employee Master'!E126)</f>
        <v/>
      </c>
      <c r="E129" s="134">
        <f>IF('Employee Master'!B126="","",'Employee Master'!F126)</f>
        <v/>
      </c>
      <c r="F129" s="134">
        <f>IF('Employee Master'!B126="","",'Employee Master'!P126)</f>
        <v/>
      </c>
      <c r="G129" s="134">
        <f>IF('Employee Master'!B126="","",'Employee Master'!J126)</f>
        <v/>
      </c>
      <c r="H129" s="134">
        <f>IF('Employee Master'!B126="","",'Employee Master'!I126)</f>
        <v/>
      </c>
      <c r="I129" s="134">
        <f>IF('Employee Master'!B126="","",'Employee Master'!K126)</f>
        <v/>
      </c>
      <c r="J129" s="134">
        <f>IF('Employee Master'!B126="","",'Employee Master'!L126)</f>
        <v/>
      </c>
      <c r="K129" s="134">
        <f>IF('Employee Master'!B126="","",'Employee Master'!T126)</f>
        <v/>
      </c>
      <c r="L129" s="134">
        <f>IF('Employee Master'!B126="","",'Employee Master'!M126)</f>
        <v/>
      </c>
      <c r="M129" s="134">
        <f>IF('Employee Master'!B126="","",'Employee Master'!N126)</f>
        <v/>
      </c>
      <c r="N129" s="134">
        <f>IF('Employee Master'!B126="","",'Employee Master'!H126)</f>
        <v/>
      </c>
      <c r="O129" s="134">
        <f>IF('Employee Master'!B126="","",'Employee Master'!AD126)</f>
        <v/>
      </c>
    </row>
    <row r="130" ht="15" customHeight="1" s="120">
      <c r="A130" s="134">
        <f>IF('Employee Master'!B127="","",IF(AND('Employee Master'!AD127="Y",OR('Employee Master'!C127="12:15 PM",'Employee Master'!C127="2:00 PM"),'Employee Master'!E127="N"),"Y","N"))</f>
        <v/>
      </c>
      <c r="B130" s="134">
        <f>IF('Employee Master'!B127="","",'Employee Master'!B127)</f>
        <v/>
      </c>
      <c r="C130" s="134">
        <f>IF('Employee Master'!B127="","",'Employee Master'!C127)</f>
        <v/>
      </c>
      <c r="D130" s="134">
        <f>IF('Employee Master'!B127="","",'Employee Master'!E127)</f>
        <v/>
      </c>
      <c r="E130" s="134">
        <f>IF('Employee Master'!B127="","",'Employee Master'!F127)</f>
        <v/>
      </c>
      <c r="F130" s="134">
        <f>IF('Employee Master'!B127="","",'Employee Master'!P127)</f>
        <v/>
      </c>
      <c r="G130" s="134">
        <f>IF('Employee Master'!B127="","",'Employee Master'!J127)</f>
        <v/>
      </c>
      <c r="H130" s="134">
        <f>IF('Employee Master'!B127="","",'Employee Master'!I127)</f>
        <v/>
      </c>
      <c r="I130" s="134">
        <f>IF('Employee Master'!B127="","",'Employee Master'!K127)</f>
        <v/>
      </c>
      <c r="J130" s="134">
        <f>IF('Employee Master'!B127="","",'Employee Master'!L127)</f>
        <v/>
      </c>
      <c r="K130" s="134">
        <f>IF('Employee Master'!B127="","",'Employee Master'!T127)</f>
        <v/>
      </c>
      <c r="L130" s="134">
        <f>IF('Employee Master'!B127="","",'Employee Master'!M127)</f>
        <v/>
      </c>
      <c r="M130" s="134">
        <f>IF('Employee Master'!B127="","",'Employee Master'!N127)</f>
        <v/>
      </c>
      <c r="N130" s="134">
        <f>IF('Employee Master'!B127="","",'Employee Master'!H127)</f>
        <v/>
      </c>
      <c r="O130" s="134">
        <f>IF('Employee Master'!B127="","",'Employee Master'!AD127)</f>
        <v/>
      </c>
    </row>
    <row r="131" ht="15" customHeight="1" s="120">
      <c r="A131" s="134">
        <f>IF('Employee Master'!B128="","",IF(AND('Employee Master'!AD128="Y",OR('Employee Master'!C128="12:15 PM",'Employee Master'!C128="2:00 PM"),'Employee Master'!E128="N"),"Y","N"))</f>
        <v/>
      </c>
      <c r="B131" s="134">
        <f>IF('Employee Master'!B128="","",'Employee Master'!B128)</f>
        <v/>
      </c>
      <c r="C131" s="134">
        <f>IF('Employee Master'!B128="","",'Employee Master'!C128)</f>
        <v/>
      </c>
      <c r="D131" s="134">
        <f>IF('Employee Master'!B128="","",'Employee Master'!E128)</f>
        <v/>
      </c>
      <c r="E131" s="134">
        <f>IF('Employee Master'!B128="","",'Employee Master'!F128)</f>
        <v/>
      </c>
      <c r="F131" s="134">
        <f>IF('Employee Master'!B128="","",'Employee Master'!P128)</f>
        <v/>
      </c>
      <c r="G131" s="134">
        <f>IF('Employee Master'!B128="","",'Employee Master'!J128)</f>
        <v/>
      </c>
      <c r="H131" s="134">
        <f>IF('Employee Master'!B128="","",'Employee Master'!I128)</f>
        <v/>
      </c>
      <c r="I131" s="134">
        <f>IF('Employee Master'!B128="","",'Employee Master'!K128)</f>
        <v/>
      </c>
      <c r="J131" s="134">
        <f>IF('Employee Master'!B128="","",'Employee Master'!L128)</f>
        <v/>
      </c>
      <c r="K131" s="134">
        <f>IF('Employee Master'!B128="","",'Employee Master'!T128)</f>
        <v/>
      </c>
      <c r="L131" s="134">
        <f>IF('Employee Master'!B128="","",'Employee Master'!M128)</f>
        <v/>
      </c>
      <c r="M131" s="134">
        <f>IF('Employee Master'!B128="","",'Employee Master'!N128)</f>
        <v/>
      </c>
      <c r="N131" s="134">
        <f>IF('Employee Master'!B128="","",'Employee Master'!H128)</f>
        <v/>
      </c>
      <c r="O131" s="134">
        <f>IF('Employee Master'!B128="","",'Employee Master'!AD128)</f>
        <v/>
      </c>
    </row>
    <row r="132" ht="15" customHeight="1" s="120">
      <c r="A132" s="134">
        <f>IF('Employee Master'!B129="","",IF(AND('Employee Master'!AD129="Y",OR('Employee Master'!C129="12:15 PM",'Employee Master'!C129="2:00 PM"),'Employee Master'!E129="N"),"Y","N"))</f>
        <v/>
      </c>
      <c r="B132" s="134">
        <f>IF('Employee Master'!B129="","",'Employee Master'!B129)</f>
        <v/>
      </c>
      <c r="C132" s="134">
        <f>IF('Employee Master'!B129="","",'Employee Master'!C129)</f>
        <v/>
      </c>
      <c r="D132" s="134">
        <f>IF('Employee Master'!B129="","",'Employee Master'!E129)</f>
        <v/>
      </c>
      <c r="E132" s="134">
        <f>IF('Employee Master'!B129="","",'Employee Master'!F129)</f>
        <v/>
      </c>
      <c r="F132" s="134">
        <f>IF('Employee Master'!B129="","",'Employee Master'!P129)</f>
        <v/>
      </c>
      <c r="G132" s="134">
        <f>IF('Employee Master'!B129="","",'Employee Master'!J129)</f>
        <v/>
      </c>
      <c r="H132" s="134">
        <f>IF('Employee Master'!B129="","",'Employee Master'!I129)</f>
        <v/>
      </c>
      <c r="I132" s="134">
        <f>IF('Employee Master'!B129="","",'Employee Master'!K129)</f>
        <v/>
      </c>
      <c r="J132" s="134">
        <f>IF('Employee Master'!B129="","",'Employee Master'!L129)</f>
        <v/>
      </c>
      <c r="K132" s="134">
        <f>IF('Employee Master'!B129="","",'Employee Master'!T129)</f>
        <v/>
      </c>
      <c r="L132" s="134">
        <f>IF('Employee Master'!B129="","",'Employee Master'!M129)</f>
        <v/>
      </c>
      <c r="M132" s="134">
        <f>IF('Employee Master'!B129="","",'Employee Master'!N129)</f>
        <v/>
      </c>
      <c r="N132" s="134">
        <f>IF('Employee Master'!B129="","",'Employee Master'!H129)</f>
        <v/>
      </c>
      <c r="O132" s="134">
        <f>IF('Employee Master'!B129="","",'Employee Master'!AD129)</f>
        <v/>
      </c>
    </row>
    <row r="133" ht="15" customHeight="1" s="120">
      <c r="A133" s="134">
        <f>IF('Employee Master'!B130="","",IF(AND('Employee Master'!AD130="Y",OR('Employee Master'!C130="12:15 PM",'Employee Master'!C130="2:00 PM"),'Employee Master'!E130="N"),"Y","N"))</f>
        <v/>
      </c>
      <c r="B133" s="134">
        <f>IF('Employee Master'!B130="","",'Employee Master'!B130)</f>
        <v/>
      </c>
      <c r="C133" s="134">
        <f>IF('Employee Master'!B130="","",'Employee Master'!C130)</f>
        <v/>
      </c>
      <c r="D133" s="134">
        <f>IF('Employee Master'!B130="","",'Employee Master'!E130)</f>
        <v/>
      </c>
      <c r="E133" s="134">
        <f>IF('Employee Master'!B130="","",'Employee Master'!F130)</f>
        <v/>
      </c>
      <c r="F133" s="134">
        <f>IF('Employee Master'!B130="","",'Employee Master'!P130)</f>
        <v/>
      </c>
      <c r="G133" s="134">
        <f>IF('Employee Master'!B130="","",'Employee Master'!J130)</f>
        <v/>
      </c>
      <c r="H133" s="134">
        <f>IF('Employee Master'!B130="","",'Employee Master'!I130)</f>
        <v/>
      </c>
      <c r="I133" s="134">
        <f>IF('Employee Master'!B130="","",'Employee Master'!K130)</f>
        <v/>
      </c>
      <c r="J133" s="134">
        <f>IF('Employee Master'!B130="","",'Employee Master'!L130)</f>
        <v/>
      </c>
      <c r="K133" s="134">
        <f>IF('Employee Master'!B130="","",'Employee Master'!T130)</f>
        <v/>
      </c>
      <c r="L133" s="134">
        <f>IF('Employee Master'!B130="","",'Employee Master'!M130)</f>
        <v/>
      </c>
      <c r="M133" s="134">
        <f>IF('Employee Master'!B130="","",'Employee Master'!N130)</f>
        <v/>
      </c>
      <c r="N133" s="134">
        <f>IF('Employee Master'!B130="","",'Employee Master'!H130)</f>
        <v/>
      </c>
      <c r="O133" s="134">
        <f>IF('Employee Master'!B130="","",'Employee Master'!AD130)</f>
        <v/>
      </c>
    </row>
    <row r="134" ht="15" customHeight="1" s="120">
      <c r="A134" s="134">
        <f>IF('Employee Master'!B131="","",IF(AND('Employee Master'!AD131="Y",OR('Employee Master'!C131="12:15 PM",'Employee Master'!C131="2:00 PM"),'Employee Master'!E131="N"),"Y","N"))</f>
        <v/>
      </c>
      <c r="B134" s="134">
        <f>IF('Employee Master'!B131="","",'Employee Master'!B131)</f>
        <v/>
      </c>
      <c r="C134" s="134">
        <f>IF('Employee Master'!B131="","",'Employee Master'!C131)</f>
        <v/>
      </c>
      <c r="D134" s="134">
        <f>IF('Employee Master'!B131="","",'Employee Master'!E131)</f>
        <v/>
      </c>
      <c r="E134" s="134">
        <f>IF('Employee Master'!B131="","",'Employee Master'!F131)</f>
        <v/>
      </c>
      <c r="F134" s="134">
        <f>IF('Employee Master'!B131="","",'Employee Master'!P131)</f>
        <v/>
      </c>
      <c r="G134" s="134">
        <f>IF('Employee Master'!B131="","",'Employee Master'!J131)</f>
        <v/>
      </c>
      <c r="H134" s="134">
        <f>IF('Employee Master'!B131="","",'Employee Master'!I131)</f>
        <v/>
      </c>
      <c r="I134" s="134">
        <f>IF('Employee Master'!B131="","",'Employee Master'!K131)</f>
        <v/>
      </c>
      <c r="J134" s="134">
        <f>IF('Employee Master'!B131="","",'Employee Master'!L131)</f>
        <v/>
      </c>
      <c r="K134" s="134">
        <f>IF('Employee Master'!B131="","",'Employee Master'!T131)</f>
        <v/>
      </c>
      <c r="L134" s="134">
        <f>IF('Employee Master'!B131="","",'Employee Master'!M131)</f>
        <v/>
      </c>
      <c r="M134" s="134">
        <f>IF('Employee Master'!B131="","",'Employee Master'!N131)</f>
        <v/>
      </c>
      <c r="N134" s="134">
        <f>IF('Employee Master'!B131="","",'Employee Master'!H131)</f>
        <v/>
      </c>
      <c r="O134" s="134">
        <f>IF('Employee Master'!B131="","",'Employee Master'!AD131)</f>
        <v/>
      </c>
    </row>
    <row r="135" ht="15" customHeight="1" s="120">
      <c r="A135" s="134">
        <f>IF('Employee Master'!B132="","",IF(AND('Employee Master'!AD132="Y",OR('Employee Master'!C132="12:15 PM",'Employee Master'!C132="2:00 PM"),'Employee Master'!E132="N"),"Y","N"))</f>
        <v/>
      </c>
      <c r="B135" s="134">
        <f>IF('Employee Master'!B132="","",'Employee Master'!B132)</f>
        <v/>
      </c>
      <c r="C135" s="134">
        <f>IF('Employee Master'!B132="","",'Employee Master'!C132)</f>
        <v/>
      </c>
      <c r="D135" s="134">
        <f>IF('Employee Master'!B132="","",'Employee Master'!E132)</f>
        <v/>
      </c>
      <c r="E135" s="134">
        <f>IF('Employee Master'!B132="","",'Employee Master'!F132)</f>
        <v/>
      </c>
      <c r="F135" s="134">
        <f>IF('Employee Master'!B132="","",'Employee Master'!P132)</f>
        <v/>
      </c>
      <c r="G135" s="134">
        <f>IF('Employee Master'!B132="","",'Employee Master'!J132)</f>
        <v/>
      </c>
      <c r="H135" s="134">
        <f>IF('Employee Master'!B132="","",'Employee Master'!I132)</f>
        <v/>
      </c>
      <c r="I135" s="134">
        <f>IF('Employee Master'!B132="","",'Employee Master'!K132)</f>
        <v/>
      </c>
      <c r="J135" s="134">
        <f>IF('Employee Master'!B132="","",'Employee Master'!L132)</f>
        <v/>
      </c>
      <c r="K135" s="134">
        <f>IF('Employee Master'!B132="","",'Employee Master'!T132)</f>
        <v/>
      </c>
      <c r="L135" s="134">
        <f>IF('Employee Master'!B132="","",'Employee Master'!M132)</f>
        <v/>
      </c>
      <c r="M135" s="134">
        <f>IF('Employee Master'!B132="","",'Employee Master'!N132)</f>
        <v/>
      </c>
      <c r="N135" s="134">
        <f>IF('Employee Master'!B132="","",'Employee Master'!H132)</f>
        <v/>
      </c>
      <c r="O135" s="134">
        <f>IF('Employee Master'!B132="","",'Employee Master'!AD132)</f>
        <v/>
      </c>
    </row>
    <row r="136" ht="15" customHeight="1" s="120">
      <c r="A136" s="134">
        <f>IF('Employee Master'!B133="","",IF(AND('Employee Master'!AD133="Y",OR('Employee Master'!C133="12:15 PM",'Employee Master'!C133="2:00 PM"),'Employee Master'!E133="N"),"Y","N"))</f>
        <v/>
      </c>
      <c r="B136" s="134">
        <f>IF('Employee Master'!B133="","",'Employee Master'!B133)</f>
        <v/>
      </c>
      <c r="C136" s="134">
        <f>IF('Employee Master'!B133="","",'Employee Master'!C133)</f>
        <v/>
      </c>
      <c r="D136" s="134">
        <f>IF('Employee Master'!B133="","",'Employee Master'!E133)</f>
        <v/>
      </c>
      <c r="E136" s="134">
        <f>IF('Employee Master'!B133="","",'Employee Master'!F133)</f>
        <v/>
      </c>
      <c r="F136" s="134">
        <f>IF('Employee Master'!B133="","",'Employee Master'!P133)</f>
        <v/>
      </c>
      <c r="G136" s="134">
        <f>IF('Employee Master'!B133="","",'Employee Master'!J133)</f>
        <v/>
      </c>
      <c r="H136" s="134">
        <f>IF('Employee Master'!B133="","",'Employee Master'!I133)</f>
        <v/>
      </c>
      <c r="I136" s="134">
        <f>IF('Employee Master'!B133="","",'Employee Master'!K133)</f>
        <v/>
      </c>
      <c r="J136" s="134">
        <f>IF('Employee Master'!B133="","",'Employee Master'!L133)</f>
        <v/>
      </c>
      <c r="K136" s="134">
        <f>IF('Employee Master'!B133="","",'Employee Master'!T133)</f>
        <v/>
      </c>
      <c r="L136" s="134">
        <f>IF('Employee Master'!B133="","",'Employee Master'!M133)</f>
        <v/>
      </c>
      <c r="M136" s="134">
        <f>IF('Employee Master'!B133="","",'Employee Master'!N133)</f>
        <v/>
      </c>
      <c r="N136" s="134">
        <f>IF('Employee Master'!B133="","",'Employee Master'!H133)</f>
        <v/>
      </c>
      <c r="O136" s="134">
        <f>IF('Employee Master'!B133="","",'Employee Master'!AD133)</f>
        <v/>
      </c>
    </row>
    <row r="137" ht="15" customHeight="1" s="120">
      <c r="A137" s="134">
        <f>IF('Employee Master'!B134="","",IF(AND('Employee Master'!AD134="Y",OR('Employee Master'!C134="12:15 PM",'Employee Master'!C134="2:00 PM"),'Employee Master'!E134="N"),"Y","N"))</f>
        <v/>
      </c>
      <c r="B137" s="134">
        <f>IF('Employee Master'!B134="","",'Employee Master'!B134)</f>
        <v/>
      </c>
      <c r="C137" s="134">
        <f>IF('Employee Master'!B134="","",'Employee Master'!C134)</f>
        <v/>
      </c>
      <c r="D137" s="134">
        <f>IF('Employee Master'!B134="","",'Employee Master'!E134)</f>
        <v/>
      </c>
      <c r="E137" s="134">
        <f>IF('Employee Master'!B134="","",'Employee Master'!F134)</f>
        <v/>
      </c>
      <c r="F137" s="134">
        <f>IF('Employee Master'!B134="","",'Employee Master'!P134)</f>
        <v/>
      </c>
      <c r="G137" s="134">
        <f>IF('Employee Master'!B134="","",'Employee Master'!J134)</f>
        <v/>
      </c>
      <c r="H137" s="134">
        <f>IF('Employee Master'!B134="","",'Employee Master'!I134)</f>
        <v/>
      </c>
      <c r="I137" s="134">
        <f>IF('Employee Master'!B134="","",'Employee Master'!K134)</f>
        <v/>
      </c>
      <c r="J137" s="134">
        <f>IF('Employee Master'!B134="","",'Employee Master'!L134)</f>
        <v/>
      </c>
      <c r="K137" s="134">
        <f>IF('Employee Master'!B134="","",'Employee Master'!T134)</f>
        <v/>
      </c>
      <c r="L137" s="134">
        <f>IF('Employee Master'!B134="","",'Employee Master'!M134)</f>
        <v/>
      </c>
      <c r="M137" s="134">
        <f>IF('Employee Master'!B134="","",'Employee Master'!N134)</f>
        <v/>
      </c>
      <c r="N137" s="134">
        <f>IF('Employee Master'!B134="","",'Employee Master'!H134)</f>
        <v/>
      </c>
      <c r="O137" s="134">
        <f>IF('Employee Master'!B134="","",'Employee Master'!AD134)</f>
        <v/>
      </c>
    </row>
    <row r="138" ht="15" customHeight="1" s="120">
      <c r="A138" s="134">
        <f>IF('Employee Master'!B135="","",IF(AND('Employee Master'!AD135="Y",OR('Employee Master'!C135="12:15 PM",'Employee Master'!C135="2:00 PM"),'Employee Master'!E135="N"),"Y","N"))</f>
        <v/>
      </c>
      <c r="B138" s="134">
        <f>IF('Employee Master'!B135="","",'Employee Master'!B135)</f>
        <v/>
      </c>
      <c r="C138" s="134">
        <f>IF('Employee Master'!B135="","",'Employee Master'!C135)</f>
        <v/>
      </c>
      <c r="D138" s="134">
        <f>IF('Employee Master'!B135="","",'Employee Master'!E135)</f>
        <v/>
      </c>
      <c r="E138" s="134">
        <f>IF('Employee Master'!B135="","",'Employee Master'!F135)</f>
        <v/>
      </c>
      <c r="F138" s="134">
        <f>IF('Employee Master'!B135="","",'Employee Master'!P135)</f>
        <v/>
      </c>
      <c r="G138" s="134">
        <f>IF('Employee Master'!B135="","",'Employee Master'!J135)</f>
        <v/>
      </c>
      <c r="H138" s="134">
        <f>IF('Employee Master'!B135="","",'Employee Master'!I135)</f>
        <v/>
      </c>
      <c r="I138" s="134">
        <f>IF('Employee Master'!B135="","",'Employee Master'!K135)</f>
        <v/>
      </c>
      <c r="J138" s="134">
        <f>IF('Employee Master'!B135="","",'Employee Master'!L135)</f>
        <v/>
      </c>
      <c r="K138" s="134">
        <f>IF('Employee Master'!B135="","",'Employee Master'!T135)</f>
        <v/>
      </c>
      <c r="L138" s="134">
        <f>IF('Employee Master'!B135="","",'Employee Master'!M135)</f>
        <v/>
      </c>
      <c r="M138" s="134">
        <f>IF('Employee Master'!B135="","",'Employee Master'!N135)</f>
        <v/>
      </c>
      <c r="N138" s="134">
        <f>IF('Employee Master'!B135="","",'Employee Master'!H135)</f>
        <v/>
      </c>
      <c r="O138" s="134">
        <f>IF('Employee Master'!B135="","",'Employee Master'!AD135)</f>
        <v/>
      </c>
    </row>
    <row r="139" ht="15" customHeight="1" s="120">
      <c r="A139" s="134">
        <f>IF('Employee Master'!B136="","",IF(AND('Employee Master'!AD136="Y",OR('Employee Master'!C136="12:15 PM",'Employee Master'!C136="2:00 PM"),'Employee Master'!E136="N"),"Y","N"))</f>
        <v/>
      </c>
      <c r="B139" s="134">
        <f>IF('Employee Master'!B136="","",'Employee Master'!B136)</f>
        <v/>
      </c>
      <c r="C139" s="134">
        <f>IF('Employee Master'!B136="","",'Employee Master'!C136)</f>
        <v/>
      </c>
      <c r="D139" s="134">
        <f>IF('Employee Master'!B136="","",'Employee Master'!E136)</f>
        <v/>
      </c>
      <c r="E139" s="134">
        <f>IF('Employee Master'!B136="","",'Employee Master'!F136)</f>
        <v/>
      </c>
      <c r="F139" s="134">
        <f>IF('Employee Master'!B136="","",'Employee Master'!P136)</f>
        <v/>
      </c>
      <c r="G139" s="134">
        <f>IF('Employee Master'!B136="","",'Employee Master'!J136)</f>
        <v/>
      </c>
      <c r="H139" s="134">
        <f>IF('Employee Master'!B136="","",'Employee Master'!I136)</f>
        <v/>
      </c>
      <c r="I139" s="134">
        <f>IF('Employee Master'!B136="","",'Employee Master'!K136)</f>
        <v/>
      </c>
      <c r="J139" s="134">
        <f>IF('Employee Master'!B136="","",'Employee Master'!L136)</f>
        <v/>
      </c>
      <c r="K139" s="134">
        <f>IF('Employee Master'!B136="","",'Employee Master'!T136)</f>
        <v/>
      </c>
      <c r="L139" s="134">
        <f>IF('Employee Master'!B136="","",'Employee Master'!M136)</f>
        <v/>
      </c>
      <c r="M139" s="134">
        <f>IF('Employee Master'!B136="","",'Employee Master'!N136)</f>
        <v/>
      </c>
      <c r="N139" s="134">
        <f>IF('Employee Master'!B136="","",'Employee Master'!H136)</f>
        <v/>
      </c>
      <c r="O139" s="134">
        <f>IF('Employee Master'!B136="","",'Employee Master'!AD136)</f>
        <v/>
      </c>
    </row>
    <row r="140" ht="15" customHeight="1" s="120">
      <c r="A140" s="134">
        <f>IF('Employee Master'!B137="","",IF(AND('Employee Master'!AD137="Y",OR('Employee Master'!C137="12:15 PM",'Employee Master'!C137="2:00 PM"),'Employee Master'!E137="N"),"Y","N"))</f>
        <v/>
      </c>
      <c r="B140" s="134">
        <f>IF('Employee Master'!B137="","",'Employee Master'!B137)</f>
        <v/>
      </c>
      <c r="C140" s="134">
        <f>IF('Employee Master'!B137="","",'Employee Master'!C137)</f>
        <v/>
      </c>
      <c r="D140" s="134">
        <f>IF('Employee Master'!B137="","",'Employee Master'!E137)</f>
        <v/>
      </c>
      <c r="E140" s="134">
        <f>IF('Employee Master'!B137="","",'Employee Master'!F137)</f>
        <v/>
      </c>
      <c r="F140" s="134">
        <f>IF('Employee Master'!B137="","",'Employee Master'!P137)</f>
        <v/>
      </c>
      <c r="G140" s="134">
        <f>IF('Employee Master'!B137="","",'Employee Master'!J137)</f>
        <v/>
      </c>
      <c r="H140" s="134">
        <f>IF('Employee Master'!B137="","",'Employee Master'!I137)</f>
        <v/>
      </c>
      <c r="I140" s="134">
        <f>IF('Employee Master'!B137="","",'Employee Master'!K137)</f>
        <v/>
      </c>
      <c r="J140" s="134">
        <f>IF('Employee Master'!B137="","",'Employee Master'!L137)</f>
        <v/>
      </c>
      <c r="K140" s="134">
        <f>IF('Employee Master'!B137="","",'Employee Master'!T137)</f>
        <v/>
      </c>
      <c r="L140" s="134">
        <f>IF('Employee Master'!B137="","",'Employee Master'!M137)</f>
        <v/>
      </c>
      <c r="M140" s="134">
        <f>IF('Employee Master'!B137="","",'Employee Master'!N137)</f>
        <v/>
      </c>
      <c r="N140" s="134">
        <f>IF('Employee Master'!B137="","",'Employee Master'!H137)</f>
        <v/>
      </c>
      <c r="O140" s="134">
        <f>IF('Employee Master'!B137="","",'Employee Master'!AD137)</f>
        <v/>
      </c>
    </row>
    <row r="141" ht="15" customHeight="1" s="120">
      <c r="A141" s="134">
        <f>IF('Employee Master'!B138="","",IF(AND('Employee Master'!AD138="Y",OR('Employee Master'!C138="12:15 PM",'Employee Master'!C138="2:00 PM"),'Employee Master'!E138="N"),"Y","N"))</f>
        <v/>
      </c>
      <c r="B141" s="134">
        <f>IF('Employee Master'!B138="","",'Employee Master'!B138)</f>
        <v/>
      </c>
      <c r="C141" s="134">
        <f>IF('Employee Master'!B138="","",'Employee Master'!C138)</f>
        <v/>
      </c>
      <c r="D141" s="134">
        <f>IF('Employee Master'!B138="","",'Employee Master'!E138)</f>
        <v/>
      </c>
      <c r="E141" s="134">
        <f>IF('Employee Master'!B138="","",'Employee Master'!F138)</f>
        <v/>
      </c>
      <c r="F141" s="134">
        <f>IF('Employee Master'!B138="","",'Employee Master'!P138)</f>
        <v/>
      </c>
      <c r="G141" s="134">
        <f>IF('Employee Master'!B138="","",'Employee Master'!J138)</f>
        <v/>
      </c>
      <c r="H141" s="134">
        <f>IF('Employee Master'!B138="","",'Employee Master'!I138)</f>
        <v/>
      </c>
      <c r="I141" s="134">
        <f>IF('Employee Master'!B138="","",'Employee Master'!K138)</f>
        <v/>
      </c>
      <c r="J141" s="134">
        <f>IF('Employee Master'!B138="","",'Employee Master'!L138)</f>
        <v/>
      </c>
      <c r="K141" s="134">
        <f>IF('Employee Master'!B138="","",'Employee Master'!T138)</f>
        <v/>
      </c>
      <c r="L141" s="134">
        <f>IF('Employee Master'!B138="","",'Employee Master'!M138)</f>
        <v/>
      </c>
      <c r="M141" s="134">
        <f>IF('Employee Master'!B138="","",'Employee Master'!N138)</f>
        <v/>
      </c>
      <c r="N141" s="134">
        <f>IF('Employee Master'!B138="","",'Employee Master'!H138)</f>
        <v/>
      </c>
      <c r="O141" s="134">
        <f>IF('Employee Master'!B138="","",'Employee Master'!AD138)</f>
        <v/>
      </c>
    </row>
    <row r="142" ht="15" customHeight="1" s="120">
      <c r="A142" s="134">
        <f>IF('Employee Master'!B139="","",IF(AND('Employee Master'!AD139="Y",OR('Employee Master'!C139="12:15 PM",'Employee Master'!C139="2:00 PM"),'Employee Master'!E139="N"),"Y","N"))</f>
        <v/>
      </c>
      <c r="B142" s="134">
        <f>IF('Employee Master'!B139="","",'Employee Master'!B139)</f>
        <v/>
      </c>
      <c r="C142" s="134">
        <f>IF('Employee Master'!B139="","",'Employee Master'!C139)</f>
        <v/>
      </c>
      <c r="D142" s="134">
        <f>IF('Employee Master'!B139="","",'Employee Master'!E139)</f>
        <v/>
      </c>
      <c r="E142" s="134">
        <f>IF('Employee Master'!B139="","",'Employee Master'!F139)</f>
        <v/>
      </c>
      <c r="F142" s="134">
        <f>IF('Employee Master'!B139="","",'Employee Master'!P139)</f>
        <v/>
      </c>
      <c r="G142" s="134">
        <f>IF('Employee Master'!B139="","",'Employee Master'!J139)</f>
        <v/>
      </c>
      <c r="H142" s="134">
        <f>IF('Employee Master'!B139="","",'Employee Master'!I139)</f>
        <v/>
      </c>
      <c r="I142" s="134">
        <f>IF('Employee Master'!B139="","",'Employee Master'!K139)</f>
        <v/>
      </c>
      <c r="J142" s="134">
        <f>IF('Employee Master'!B139="","",'Employee Master'!L139)</f>
        <v/>
      </c>
      <c r="K142" s="134">
        <f>IF('Employee Master'!B139="","",'Employee Master'!T139)</f>
        <v/>
      </c>
      <c r="L142" s="134">
        <f>IF('Employee Master'!B139="","",'Employee Master'!M139)</f>
        <v/>
      </c>
      <c r="M142" s="134">
        <f>IF('Employee Master'!B139="","",'Employee Master'!N139)</f>
        <v/>
      </c>
      <c r="N142" s="134">
        <f>IF('Employee Master'!B139="","",'Employee Master'!H139)</f>
        <v/>
      </c>
      <c r="O142" s="134">
        <f>IF('Employee Master'!B139="","",'Employee Master'!AD139)</f>
        <v/>
      </c>
    </row>
    <row r="143" ht="15" customHeight="1" s="120">
      <c r="A143" s="134">
        <f>IF('Employee Master'!B140="","",IF(AND('Employee Master'!AD140="Y",OR('Employee Master'!C140="12:15 PM",'Employee Master'!C140="2:00 PM"),'Employee Master'!E140="N"),"Y","N"))</f>
        <v/>
      </c>
      <c r="B143" s="134">
        <f>IF('Employee Master'!B140="","",'Employee Master'!B140)</f>
        <v/>
      </c>
      <c r="C143" s="134">
        <f>IF('Employee Master'!B140="","",'Employee Master'!C140)</f>
        <v/>
      </c>
      <c r="D143" s="134">
        <f>IF('Employee Master'!B140="","",'Employee Master'!E140)</f>
        <v/>
      </c>
      <c r="E143" s="134">
        <f>IF('Employee Master'!B140="","",'Employee Master'!F140)</f>
        <v/>
      </c>
      <c r="F143" s="134">
        <f>IF('Employee Master'!B140="","",'Employee Master'!P140)</f>
        <v/>
      </c>
      <c r="G143" s="134">
        <f>IF('Employee Master'!B140="","",'Employee Master'!J140)</f>
        <v/>
      </c>
      <c r="H143" s="134">
        <f>IF('Employee Master'!B140="","",'Employee Master'!I140)</f>
        <v/>
      </c>
      <c r="I143" s="134">
        <f>IF('Employee Master'!B140="","",'Employee Master'!K140)</f>
        <v/>
      </c>
      <c r="J143" s="134">
        <f>IF('Employee Master'!B140="","",'Employee Master'!L140)</f>
        <v/>
      </c>
      <c r="K143" s="134">
        <f>IF('Employee Master'!B140="","",'Employee Master'!T140)</f>
        <v/>
      </c>
      <c r="L143" s="134">
        <f>IF('Employee Master'!B140="","",'Employee Master'!M140)</f>
        <v/>
      </c>
      <c r="M143" s="134">
        <f>IF('Employee Master'!B140="","",'Employee Master'!N140)</f>
        <v/>
      </c>
      <c r="N143" s="134">
        <f>IF('Employee Master'!B140="","",'Employee Master'!H140)</f>
        <v/>
      </c>
      <c r="O143" s="134">
        <f>IF('Employee Master'!B140="","",'Employee Master'!AD140)</f>
        <v/>
      </c>
    </row>
    <row r="144" ht="15" customHeight="1" s="120">
      <c r="A144" s="134">
        <f>IF('Employee Master'!B141="","",IF(AND('Employee Master'!AD141="Y",OR('Employee Master'!C141="12:15 PM",'Employee Master'!C141="2:00 PM"),'Employee Master'!E141="N"),"Y","N"))</f>
        <v/>
      </c>
      <c r="B144" s="134">
        <f>IF('Employee Master'!B141="","",'Employee Master'!B141)</f>
        <v/>
      </c>
      <c r="C144" s="134">
        <f>IF('Employee Master'!B141="","",'Employee Master'!C141)</f>
        <v/>
      </c>
      <c r="D144" s="134">
        <f>IF('Employee Master'!B141="","",'Employee Master'!E141)</f>
        <v/>
      </c>
      <c r="E144" s="134">
        <f>IF('Employee Master'!B141="","",'Employee Master'!F141)</f>
        <v/>
      </c>
      <c r="F144" s="134">
        <f>IF('Employee Master'!B141="","",'Employee Master'!P141)</f>
        <v/>
      </c>
      <c r="G144" s="134">
        <f>IF('Employee Master'!B141="","",'Employee Master'!J141)</f>
        <v/>
      </c>
      <c r="H144" s="134">
        <f>IF('Employee Master'!B141="","",'Employee Master'!I141)</f>
        <v/>
      </c>
      <c r="I144" s="134">
        <f>IF('Employee Master'!B141="","",'Employee Master'!K141)</f>
        <v/>
      </c>
      <c r="J144" s="134">
        <f>IF('Employee Master'!B141="","",'Employee Master'!L141)</f>
        <v/>
      </c>
      <c r="K144" s="134">
        <f>IF('Employee Master'!B141="","",'Employee Master'!T141)</f>
        <v/>
      </c>
      <c r="L144" s="134">
        <f>IF('Employee Master'!B141="","",'Employee Master'!M141)</f>
        <v/>
      </c>
      <c r="M144" s="134">
        <f>IF('Employee Master'!B141="","",'Employee Master'!N141)</f>
        <v/>
      </c>
      <c r="N144" s="134">
        <f>IF('Employee Master'!B141="","",'Employee Master'!H141)</f>
        <v/>
      </c>
      <c r="O144" s="134">
        <f>IF('Employee Master'!B141="","",'Employee Master'!AD141)</f>
        <v/>
      </c>
    </row>
    <row r="145" ht="15" customHeight="1" s="120">
      <c r="A145" s="134">
        <f>IF('Employee Master'!B142="","",IF(AND('Employee Master'!AD142="Y",OR('Employee Master'!C142="12:15 PM",'Employee Master'!C142="2:00 PM"),'Employee Master'!E142="N"),"Y","N"))</f>
        <v/>
      </c>
      <c r="B145" s="134">
        <f>IF('Employee Master'!B142="","",'Employee Master'!B142)</f>
        <v/>
      </c>
      <c r="C145" s="134">
        <f>IF('Employee Master'!B142="","",'Employee Master'!C142)</f>
        <v/>
      </c>
      <c r="D145" s="134">
        <f>IF('Employee Master'!B142="","",'Employee Master'!E142)</f>
        <v/>
      </c>
      <c r="E145" s="134">
        <f>IF('Employee Master'!B142="","",'Employee Master'!F142)</f>
        <v/>
      </c>
      <c r="F145" s="134">
        <f>IF('Employee Master'!B142="","",'Employee Master'!P142)</f>
        <v/>
      </c>
      <c r="G145" s="134">
        <f>IF('Employee Master'!B142="","",'Employee Master'!J142)</f>
        <v/>
      </c>
      <c r="H145" s="134">
        <f>IF('Employee Master'!B142="","",'Employee Master'!I142)</f>
        <v/>
      </c>
      <c r="I145" s="134">
        <f>IF('Employee Master'!B142="","",'Employee Master'!K142)</f>
        <v/>
      </c>
      <c r="J145" s="134">
        <f>IF('Employee Master'!B142="","",'Employee Master'!L142)</f>
        <v/>
      </c>
      <c r="K145" s="134">
        <f>IF('Employee Master'!B142="","",'Employee Master'!T142)</f>
        <v/>
      </c>
      <c r="L145" s="134">
        <f>IF('Employee Master'!B142="","",'Employee Master'!M142)</f>
        <v/>
      </c>
      <c r="M145" s="134">
        <f>IF('Employee Master'!B142="","",'Employee Master'!N142)</f>
        <v/>
      </c>
      <c r="N145" s="134">
        <f>IF('Employee Master'!B142="","",'Employee Master'!H142)</f>
        <v/>
      </c>
      <c r="O145" s="134">
        <f>IF('Employee Master'!B142="","",'Employee Master'!AD142)</f>
        <v/>
      </c>
    </row>
    <row r="146" ht="15" customHeight="1" s="120">
      <c r="A146" s="134">
        <f>IF('Employee Master'!B143="","",IF(AND('Employee Master'!AD143="Y",OR('Employee Master'!C143="12:15 PM",'Employee Master'!C143="2:00 PM"),'Employee Master'!E143="N"),"Y","N"))</f>
        <v/>
      </c>
      <c r="B146" s="134">
        <f>IF('Employee Master'!B143="","",'Employee Master'!B143)</f>
        <v/>
      </c>
      <c r="C146" s="134">
        <f>IF('Employee Master'!B143="","",'Employee Master'!C143)</f>
        <v/>
      </c>
      <c r="D146" s="134">
        <f>IF('Employee Master'!B143="","",'Employee Master'!E143)</f>
        <v/>
      </c>
      <c r="E146" s="134">
        <f>IF('Employee Master'!B143="","",'Employee Master'!F143)</f>
        <v/>
      </c>
      <c r="F146" s="134">
        <f>IF('Employee Master'!B143="","",'Employee Master'!P143)</f>
        <v/>
      </c>
      <c r="G146" s="134">
        <f>IF('Employee Master'!B143="","",'Employee Master'!J143)</f>
        <v/>
      </c>
      <c r="H146" s="134">
        <f>IF('Employee Master'!B143="","",'Employee Master'!I143)</f>
        <v/>
      </c>
      <c r="I146" s="134">
        <f>IF('Employee Master'!B143="","",'Employee Master'!K143)</f>
        <v/>
      </c>
      <c r="J146" s="134">
        <f>IF('Employee Master'!B143="","",'Employee Master'!L143)</f>
        <v/>
      </c>
      <c r="K146" s="134">
        <f>IF('Employee Master'!B143="","",'Employee Master'!T143)</f>
        <v/>
      </c>
      <c r="L146" s="134">
        <f>IF('Employee Master'!B143="","",'Employee Master'!M143)</f>
        <v/>
      </c>
      <c r="M146" s="134">
        <f>IF('Employee Master'!B143="","",'Employee Master'!N143)</f>
        <v/>
      </c>
      <c r="N146" s="134">
        <f>IF('Employee Master'!B143="","",'Employee Master'!H143)</f>
        <v/>
      </c>
      <c r="O146" s="134">
        <f>IF('Employee Master'!B143="","",'Employee Master'!AD143)</f>
        <v/>
      </c>
    </row>
    <row r="147" ht="15" customHeight="1" s="120">
      <c r="A147" s="134">
        <f>IF('Employee Master'!B144="","",IF(AND('Employee Master'!AD144="Y",OR('Employee Master'!C144="12:15 PM",'Employee Master'!C144="2:00 PM"),'Employee Master'!E144="N"),"Y","N"))</f>
        <v/>
      </c>
      <c r="B147" s="134">
        <f>IF('Employee Master'!B144="","",'Employee Master'!B144)</f>
        <v/>
      </c>
      <c r="C147" s="134">
        <f>IF('Employee Master'!B144="","",'Employee Master'!C144)</f>
        <v/>
      </c>
      <c r="D147" s="134">
        <f>IF('Employee Master'!B144="","",'Employee Master'!E144)</f>
        <v/>
      </c>
      <c r="E147" s="134">
        <f>IF('Employee Master'!B144="","",'Employee Master'!F144)</f>
        <v/>
      </c>
      <c r="F147" s="134">
        <f>IF('Employee Master'!B144="","",'Employee Master'!P144)</f>
        <v/>
      </c>
      <c r="G147" s="134">
        <f>IF('Employee Master'!B144="","",'Employee Master'!J144)</f>
        <v/>
      </c>
      <c r="H147" s="134">
        <f>IF('Employee Master'!B144="","",'Employee Master'!I144)</f>
        <v/>
      </c>
      <c r="I147" s="134">
        <f>IF('Employee Master'!B144="","",'Employee Master'!K144)</f>
        <v/>
      </c>
      <c r="J147" s="134">
        <f>IF('Employee Master'!B144="","",'Employee Master'!L144)</f>
        <v/>
      </c>
      <c r="K147" s="134">
        <f>IF('Employee Master'!B144="","",'Employee Master'!T144)</f>
        <v/>
      </c>
      <c r="L147" s="134">
        <f>IF('Employee Master'!B144="","",'Employee Master'!M144)</f>
        <v/>
      </c>
      <c r="M147" s="134">
        <f>IF('Employee Master'!B144="","",'Employee Master'!N144)</f>
        <v/>
      </c>
      <c r="N147" s="134">
        <f>IF('Employee Master'!B144="","",'Employee Master'!H144)</f>
        <v/>
      </c>
      <c r="O147" s="134">
        <f>IF('Employee Master'!B144="","",'Employee Master'!AD144)</f>
        <v/>
      </c>
    </row>
    <row r="148" ht="15" customHeight="1" s="120">
      <c r="A148" s="134">
        <f>IF('Employee Master'!B145="","",IF(AND('Employee Master'!AD145="Y",OR('Employee Master'!C145="12:15 PM",'Employee Master'!C145="2:00 PM"),'Employee Master'!E145="N"),"Y","N"))</f>
        <v/>
      </c>
      <c r="B148" s="134">
        <f>IF('Employee Master'!B145="","",'Employee Master'!B145)</f>
        <v/>
      </c>
      <c r="C148" s="134">
        <f>IF('Employee Master'!B145="","",'Employee Master'!C145)</f>
        <v/>
      </c>
      <c r="D148" s="134">
        <f>IF('Employee Master'!B145="","",'Employee Master'!E145)</f>
        <v/>
      </c>
      <c r="E148" s="134">
        <f>IF('Employee Master'!B145="","",'Employee Master'!F145)</f>
        <v/>
      </c>
      <c r="F148" s="134">
        <f>IF('Employee Master'!B145="","",'Employee Master'!P145)</f>
        <v/>
      </c>
      <c r="G148" s="134">
        <f>IF('Employee Master'!B145="","",'Employee Master'!J145)</f>
        <v/>
      </c>
      <c r="H148" s="134">
        <f>IF('Employee Master'!B145="","",'Employee Master'!I145)</f>
        <v/>
      </c>
      <c r="I148" s="134">
        <f>IF('Employee Master'!B145="","",'Employee Master'!K145)</f>
        <v/>
      </c>
      <c r="J148" s="134">
        <f>IF('Employee Master'!B145="","",'Employee Master'!L145)</f>
        <v/>
      </c>
      <c r="K148" s="134">
        <f>IF('Employee Master'!B145="","",'Employee Master'!T145)</f>
        <v/>
      </c>
      <c r="L148" s="134">
        <f>IF('Employee Master'!B145="","",'Employee Master'!M145)</f>
        <v/>
      </c>
      <c r="M148" s="134">
        <f>IF('Employee Master'!B145="","",'Employee Master'!N145)</f>
        <v/>
      </c>
      <c r="N148" s="134">
        <f>IF('Employee Master'!B145="","",'Employee Master'!H145)</f>
        <v/>
      </c>
      <c r="O148" s="134">
        <f>IF('Employee Master'!B145="","",'Employee Master'!AD145)</f>
        <v/>
      </c>
    </row>
    <row r="149" ht="15" customHeight="1" s="120">
      <c r="A149" s="134">
        <f>IF('Employee Master'!B146="","",IF(AND('Employee Master'!AD146="Y",OR('Employee Master'!C146="12:15 PM",'Employee Master'!C146="2:00 PM"),'Employee Master'!E146="N"),"Y","N"))</f>
        <v/>
      </c>
      <c r="B149" s="134">
        <f>IF('Employee Master'!B146="","",'Employee Master'!B146)</f>
        <v/>
      </c>
      <c r="C149" s="134">
        <f>IF('Employee Master'!B146="","",'Employee Master'!C146)</f>
        <v/>
      </c>
      <c r="D149" s="134">
        <f>IF('Employee Master'!B146="","",'Employee Master'!E146)</f>
        <v/>
      </c>
      <c r="E149" s="134">
        <f>IF('Employee Master'!B146="","",'Employee Master'!F146)</f>
        <v/>
      </c>
      <c r="F149" s="134">
        <f>IF('Employee Master'!B146="","",'Employee Master'!P146)</f>
        <v/>
      </c>
      <c r="G149" s="134">
        <f>IF('Employee Master'!B146="","",'Employee Master'!J146)</f>
        <v/>
      </c>
      <c r="H149" s="134">
        <f>IF('Employee Master'!B146="","",'Employee Master'!I146)</f>
        <v/>
      </c>
      <c r="I149" s="134">
        <f>IF('Employee Master'!B146="","",'Employee Master'!K146)</f>
        <v/>
      </c>
      <c r="J149" s="134">
        <f>IF('Employee Master'!B146="","",'Employee Master'!L146)</f>
        <v/>
      </c>
      <c r="K149" s="134">
        <f>IF('Employee Master'!B146="","",'Employee Master'!T146)</f>
        <v/>
      </c>
      <c r="L149" s="134">
        <f>IF('Employee Master'!B146="","",'Employee Master'!M146)</f>
        <v/>
      </c>
      <c r="M149" s="134">
        <f>IF('Employee Master'!B146="","",'Employee Master'!N146)</f>
        <v/>
      </c>
      <c r="N149" s="134">
        <f>IF('Employee Master'!B146="","",'Employee Master'!H146)</f>
        <v/>
      </c>
      <c r="O149" s="134">
        <f>IF('Employee Master'!B146="","",'Employee Master'!AD146)</f>
        <v/>
      </c>
    </row>
    <row r="150" ht="15" customHeight="1" s="120">
      <c r="A150" s="134">
        <f>IF('Employee Master'!B147="","",IF(AND('Employee Master'!AD147="Y",OR('Employee Master'!C147="12:15 PM",'Employee Master'!C147="2:00 PM"),'Employee Master'!E147="N"),"Y","N"))</f>
        <v/>
      </c>
      <c r="B150" s="134">
        <f>IF('Employee Master'!B147="","",'Employee Master'!B147)</f>
        <v/>
      </c>
      <c r="C150" s="134">
        <f>IF('Employee Master'!B147="","",'Employee Master'!C147)</f>
        <v/>
      </c>
      <c r="D150" s="134">
        <f>IF('Employee Master'!B147="","",'Employee Master'!E147)</f>
        <v/>
      </c>
      <c r="E150" s="134">
        <f>IF('Employee Master'!B147="","",'Employee Master'!F147)</f>
        <v/>
      </c>
      <c r="F150" s="134">
        <f>IF('Employee Master'!B147="","",'Employee Master'!P147)</f>
        <v/>
      </c>
      <c r="G150" s="134">
        <f>IF('Employee Master'!B147="","",'Employee Master'!J147)</f>
        <v/>
      </c>
      <c r="H150" s="134">
        <f>IF('Employee Master'!B147="","",'Employee Master'!I147)</f>
        <v/>
      </c>
      <c r="I150" s="134">
        <f>IF('Employee Master'!B147="","",'Employee Master'!K147)</f>
        <v/>
      </c>
      <c r="J150" s="134">
        <f>IF('Employee Master'!B147="","",'Employee Master'!L147)</f>
        <v/>
      </c>
      <c r="K150" s="134">
        <f>IF('Employee Master'!B147="","",'Employee Master'!T147)</f>
        <v/>
      </c>
      <c r="L150" s="134">
        <f>IF('Employee Master'!B147="","",'Employee Master'!M147)</f>
        <v/>
      </c>
      <c r="M150" s="134">
        <f>IF('Employee Master'!B147="","",'Employee Master'!N147)</f>
        <v/>
      </c>
      <c r="N150" s="134">
        <f>IF('Employee Master'!B147="","",'Employee Master'!H147)</f>
        <v/>
      </c>
      <c r="O150" s="134">
        <f>IF('Employee Master'!B147="","",'Employee Master'!AD147)</f>
        <v/>
      </c>
    </row>
    <row r="151" ht="15" customHeight="1" s="120">
      <c r="A151" s="134">
        <f>IF('Employee Master'!B148="","",IF(AND('Employee Master'!AD148="Y",OR('Employee Master'!C148="12:15 PM",'Employee Master'!C148="2:00 PM"),'Employee Master'!E148="N"),"Y","N"))</f>
        <v/>
      </c>
      <c r="B151" s="134">
        <f>IF('Employee Master'!B148="","",'Employee Master'!B148)</f>
        <v/>
      </c>
      <c r="C151" s="134">
        <f>IF('Employee Master'!B148="","",'Employee Master'!C148)</f>
        <v/>
      </c>
      <c r="D151" s="134">
        <f>IF('Employee Master'!B148="","",'Employee Master'!E148)</f>
        <v/>
      </c>
      <c r="E151" s="134">
        <f>IF('Employee Master'!B148="","",'Employee Master'!F148)</f>
        <v/>
      </c>
      <c r="F151" s="134">
        <f>IF('Employee Master'!B148="","",'Employee Master'!P148)</f>
        <v/>
      </c>
      <c r="G151" s="134">
        <f>IF('Employee Master'!B148="","",'Employee Master'!J148)</f>
        <v/>
      </c>
      <c r="H151" s="134">
        <f>IF('Employee Master'!B148="","",'Employee Master'!I148)</f>
        <v/>
      </c>
      <c r="I151" s="134">
        <f>IF('Employee Master'!B148="","",'Employee Master'!K148)</f>
        <v/>
      </c>
      <c r="J151" s="134">
        <f>IF('Employee Master'!B148="","",'Employee Master'!L148)</f>
        <v/>
      </c>
      <c r="K151" s="134">
        <f>IF('Employee Master'!B148="","",'Employee Master'!T148)</f>
        <v/>
      </c>
      <c r="L151" s="134">
        <f>IF('Employee Master'!B148="","",'Employee Master'!M148)</f>
        <v/>
      </c>
      <c r="M151" s="134">
        <f>IF('Employee Master'!B148="","",'Employee Master'!N148)</f>
        <v/>
      </c>
      <c r="N151" s="134">
        <f>IF('Employee Master'!B148="","",'Employee Master'!H148)</f>
        <v/>
      </c>
      <c r="O151" s="134">
        <f>IF('Employee Master'!B148="","",'Employee Master'!AD148)</f>
        <v/>
      </c>
    </row>
    <row r="152" ht="15" customHeight="1" s="120">
      <c r="A152" s="134">
        <f>IF('Employee Master'!B149="","",IF(AND('Employee Master'!AD149="Y",OR('Employee Master'!C149="12:15 PM",'Employee Master'!C149="2:00 PM"),'Employee Master'!E149="N"),"Y","N"))</f>
        <v/>
      </c>
      <c r="B152" s="134">
        <f>IF('Employee Master'!B149="","",'Employee Master'!B149)</f>
        <v/>
      </c>
      <c r="C152" s="134">
        <f>IF('Employee Master'!B149="","",'Employee Master'!C149)</f>
        <v/>
      </c>
      <c r="D152" s="134">
        <f>IF('Employee Master'!B149="","",'Employee Master'!E149)</f>
        <v/>
      </c>
      <c r="E152" s="134">
        <f>IF('Employee Master'!B149="","",'Employee Master'!F149)</f>
        <v/>
      </c>
      <c r="F152" s="134">
        <f>IF('Employee Master'!B149="","",'Employee Master'!P149)</f>
        <v/>
      </c>
      <c r="G152" s="134">
        <f>IF('Employee Master'!B149="","",'Employee Master'!J149)</f>
        <v/>
      </c>
      <c r="H152" s="134">
        <f>IF('Employee Master'!B149="","",'Employee Master'!I149)</f>
        <v/>
      </c>
      <c r="I152" s="134">
        <f>IF('Employee Master'!B149="","",'Employee Master'!K149)</f>
        <v/>
      </c>
      <c r="J152" s="134">
        <f>IF('Employee Master'!B149="","",'Employee Master'!L149)</f>
        <v/>
      </c>
      <c r="K152" s="134">
        <f>IF('Employee Master'!B149="","",'Employee Master'!T149)</f>
        <v/>
      </c>
      <c r="L152" s="134">
        <f>IF('Employee Master'!B149="","",'Employee Master'!M149)</f>
        <v/>
      </c>
      <c r="M152" s="134">
        <f>IF('Employee Master'!B149="","",'Employee Master'!N149)</f>
        <v/>
      </c>
      <c r="N152" s="134">
        <f>IF('Employee Master'!B149="","",'Employee Master'!H149)</f>
        <v/>
      </c>
      <c r="O152" s="134">
        <f>IF('Employee Master'!B149="","",'Employee Master'!AD149)</f>
        <v/>
      </c>
    </row>
    <row r="153" ht="15" customHeight="1" s="120">
      <c r="A153" s="134">
        <f>IF('Employee Master'!B150="","",IF(AND('Employee Master'!AD150="Y",OR('Employee Master'!C150="12:15 PM",'Employee Master'!C150="2:00 PM"),'Employee Master'!E150="N"),"Y","N"))</f>
        <v/>
      </c>
      <c r="B153" s="134">
        <f>IF('Employee Master'!B150="","",'Employee Master'!B150)</f>
        <v/>
      </c>
      <c r="C153" s="134">
        <f>IF('Employee Master'!B150="","",'Employee Master'!C150)</f>
        <v/>
      </c>
      <c r="D153" s="134">
        <f>IF('Employee Master'!B150="","",'Employee Master'!E150)</f>
        <v/>
      </c>
      <c r="E153" s="134">
        <f>IF('Employee Master'!B150="","",'Employee Master'!F150)</f>
        <v/>
      </c>
      <c r="F153" s="134">
        <f>IF('Employee Master'!B150="","",'Employee Master'!P150)</f>
        <v/>
      </c>
      <c r="G153" s="134">
        <f>IF('Employee Master'!B150="","",'Employee Master'!J150)</f>
        <v/>
      </c>
      <c r="H153" s="134">
        <f>IF('Employee Master'!B150="","",'Employee Master'!I150)</f>
        <v/>
      </c>
      <c r="I153" s="134">
        <f>IF('Employee Master'!B150="","",'Employee Master'!K150)</f>
        <v/>
      </c>
      <c r="J153" s="134">
        <f>IF('Employee Master'!B150="","",'Employee Master'!L150)</f>
        <v/>
      </c>
      <c r="K153" s="134">
        <f>IF('Employee Master'!B150="","",'Employee Master'!T150)</f>
        <v/>
      </c>
      <c r="L153" s="134">
        <f>IF('Employee Master'!B150="","",'Employee Master'!M150)</f>
        <v/>
      </c>
      <c r="M153" s="134">
        <f>IF('Employee Master'!B150="","",'Employee Master'!N150)</f>
        <v/>
      </c>
      <c r="N153" s="134">
        <f>IF('Employee Master'!B150="","",'Employee Master'!H150)</f>
        <v/>
      </c>
      <c r="O153" s="134">
        <f>IF('Employee Master'!B150="","",'Employee Master'!AD150)</f>
        <v/>
      </c>
    </row>
    <row r="154" ht="15" customHeight="1" s="120">
      <c r="A154" s="134">
        <f>IF('Employee Master'!B151="","",IF(AND('Employee Master'!AD151="Y",OR('Employee Master'!C151="12:15 PM",'Employee Master'!C151="2:00 PM"),'Employee Master'!E151="N"),"Y","N"))</f>
        <v/>
      </c>
      <c r="B154" s="134">
        <f>IF('Employee Master'!B151="","",'Employee Master'!B151)</f>
        <v/>
      </c>
      <c r="C154" s="134">
        <f>IF('Employee Master'!B151="","",'Employee Master'!C151)</f>
        <v/>
      </c>
      <c r="D154" s="134">
        <f>IF('Employee Master'!B151="","",'Employee Master'!E151)</f>
        <v/>
      </c>
      <c r="E154" s="134">
        <f>IF('Employee Master'!B151="","",'Employee Master'!F151)</f>
        <v/>
      </c>
      <c r="F154" s="134">
        <f>IF('Employee Master'!B151="","",'Employee Master'!P151)</f>
        <v/>
      </c>
      <c r="G154" s="134">
        <f>IF('Employee Master'!B151="","",'Employee Master'!J151)</f>
        <v/>
      </c>
      <c r="H154" s="134">
        <f>IF('Employee Master'!B151="","",'Employee Master'!I151)</f>
        <v/>
      </c>
      <c r="I154" s="134">
        <f>IF('Employee Master'!B151="","",'Employee Master'!K151)</f>
        <v/>
      </c>
      <c r="J154" s="134">
        <f>IF('Employee Master'!B151="","",'Employee Master'!L151)</f>
        <v/>
      </c>
      <c r="K154" s="134">
        <f>IF('Employee Master'!B151="","",'Employee Master'!T151)</f>
        <v/>
      </c>
      <c r="L154" s="134">
        <f>IF('Employee Master'!B151="","",'Employee Master'!M151)</f>
        <v/>
      </c>
      <c r="M154" s="134">
        <f>IF('Employee Master'!B151="","",'Employee Master'!N151)</f>
        <v/>
      </c>
      <c r="N154" s="134">
        <f>IF('Employee Master'!B151="","",'Employee Master'!H151)</f>
        <v/>
      </c>
      <c r="O154" s="134">
        <f>IF('Employee Master'!B151="","",'Employee Master'!AD151)</f>
        <v/>
      </c>
    </row>
    <row r="155" ht="15" customHeight="1" s="120">
      <c r="A155" s="134">
        <f>IF('Employee Master'!B152="","",IF(AND('Employee Master'!AD152="Y",OR('Employee Master'!C152="12:15 PM",'Employee Master'!C152="2:00 PM"),'Employee Master'!E152="N"),"Y","N"))</f>
        <v/>
      </c>
      <c r="B155" s="134">
        <f>IF('Employee Master'!B152="","",'Employee Master'!B152)</f>
        <v/>
      </c>
      <c r="C155" s="134">
        <f>IF('Employee Master'!B152="","",'Employee Master'!C152)</f>
        <v/>
      </c>
      <c r="D155" s="134">
        <f>IF('Employee Master'!B152="","",'Employee Master'!E152)</f>
        <v/>
      </c>
      <c r="E155" s="134">
        <f>IF('Employee Master'!B152="","",'Employee Master'!F152)</f>
        <v/>
      </c>
      <c r="F155" s="134">
        <f>IF('Employee Master'!B152="","",'Employee Master'!P152)</f>
        <v/>
      </c>
      <c r="G155" s="134">
        <f>IF('Employee Master'!B152="","",'Employee Master'!J152)</f>
        <v/>
      </c>
      <c r="H155" s="134">
        <f>IF('Employee Master'!B152="","",'Employee Master'!I152)</f>
        <v/>
      </c>
      <c r="I155" s="134">
        <f>IF('Employee Master'!B152="","",'Employee Master'!K152)</f>
        <v/>
      </c>
      <c r="J155" s="134">
        <f>IF('Employee Master'!B152="","",'Employee Master'!L152)</f>
        <v/>
      </c>
      <c r="K155" s="134">
        <f>IF('Employee Master'!B152="","",'Employee Master'!T152)</f>
        <v/>
      </c>
      <c r="L155" s="134">
        <f>IF('Employee Master'!B152="","",'Employee Master'!M152)</f>
        <v/>
      </c>
      <c r="M155" s="134">
        <f>IF('Employee Master'!B152="","",'Employee Master'!N152)</f>
        <v/>
      </c>
      <c r="N155" s="134">
        <f>IF('Employee Master'!B152="","",'Employee Master'!H152)</f>
        <v/>
      </c>
      <c r="O155" s="134">
        <f>IF('Employee Master'!B152="","",'Employee Master'!AD152)</f>
        <v/>
      </c>
    </row>
    <row r="156" ht="15" customHeight="1" s="120">
      <c r="A156" s="134">
        <f>IF('Employee Master'!B153="","",IF(AND('Employee Master'!AD153="Y",OR('Employee Master'!C153="12:15 PM",'Employee Master'!C153="2:00 PM"),'Employee Master'!E153="N"),"Y","N"))</f>
        <v/>
      </c>
      <c r="B156" s="134">
        <f>IF('Employee Master'!B153="","",'Employee Master'!B153)</f>
        <v/>
      </c>
      <c r="C156" s="134">
        <f>IF('Employee Master'!B153="","",'Employee Master'!C153)</f>
        <v/>
      </c>
      <c r="D156" s="134">
        <f>IF('Employee Master'!B153="","",'Employee Master'!E153)</f>
        <v/>
      </c>
      <c r="E156" s="134">
        <f>IF('Employee Master'!B153="","",'Employee Master'!F153)</f>
        <v/>
      </c>
      <c r="F156" s="134">
        <f>IF('Employee Master'!B153="","",'Employee Master'!P153)</f>
        <v/>
      </c>
      <c r="G156" s="134">
        <f>IF('Employee Master'!B153="","",'Employee Master'!J153)</f>
        <v/>
      </c>
      <c r="H156" s="134">
        <f>IF('Employee Master'!B153="","",'Employee Master'!I153)</f>
        <v/>
      </c>
      <c r="I156" s="134">
        <f>IF('Employee Master'!B153="","",'Employee Master'!K153)</f>
        <v/>
      </c>
      <c r="J156" s="134">
        <f>IF('Employee Master'!B153="","",'Employee Master'!L153)</f>
        <v/>
      </c>
      <c r="K156" s="134">
        <f>IF('Employee Master'!B153="","",'Employee Master'!T153)</f>
        <v/>
      </c>
      <c r="L156" s="134">
        <f>IF('Employee Master'!B153="","",'Employee Master'!M153)</f>
        <v/>
      </c>
      <c r="M156" s="134">
        <f>IF('Employee Master'!B153="","",'Employee Master'!N153)</f>
        <v/>
      </c>
      <c r="N156" s="134">
        <f>IF('Employee Master'!B153="","",'Employee Master'!H153)</f>
        <v/>
      </c>
      <c r="O156" s="134">
        <f>IF('Employee Master'!B153="","",'Employee Master'!AD153)</f>
        <v/>
      </c>
    </row>
    <row r="157" ht="15" customHeight="1" s="120">
      <c r="A157" s="134">
        <f>IF('Employee Master'!B154="","",IF(AND('Employee Master'!AD154="Y",OR('Employee Master'!C154="12:15 PM",'Employee Master'!C154="2:00 PM"),'Employee Master'!E154="N"),"Y","N"))</f>
        <v/>
      </c>
      <c r="B157" s="134">
        <f>IF('Employee Master'!B154="","",'Employee Master'!B154)</f>
        <v/>
      </c>
      <c r="C157" s="134">
        <f>IF('Employee Master'!B154="","",'Employee Master'!C154)</f>
        <v/>
      </c>
      <c r="D157" s="134">
        <f>IF('Employee Master'!B154="","",'Employee Master'!E154)</f>
        <v/>
      </c>
      <c r="E157" s="134">
        <f>IF('Employee Master'!B154="","",'Employee Master'!F154)</f>
        <v/>
      </c>
      <c r="F157" s="134">
        <f>IF('Employee Master'!B154="","",'Employee Master'!P154)</f>
        <v/>
      </c>
      <c r="G157" s="134">
        <f>IF('Employee Master'!B154="","",'Employee Master'!J154)</f>
        <v/>
      </c>
      <c r="H157" s="134">
        <f>IF('Employee Master'!B154="","",'Employee Master'!I154)</f>
        <v/>
      </c>
      <c r="I157" s="134">
        <f>IF('Employee Master'!B154="","",'Employee Master'!K154)</f>
        <v/>
      </c>
      <c r="J157" s="134">
        <f>IF('Employee Master'!B154="","",'Employee Master'!L154)</f>
        <v/>
      </c>
      <c r="K157" s="134">
        <f>IF('Employee Master'!B154="","",'Employee Master'!T154)</f>
        <v/>
      </c>
      <c r="L157" s="134">
        <f>IF('Employee Master'!B154="","",'Employee Master'!M154)</f>
        <v/>
      </c>
      <c r="M157" s="134">
        <f>IF('Employee Master'!B154="","",'Employee Master'!N154)</f>
        <v/>
      </c>
      <c r="N157" s="134">
        <f>IF('Employee Master'!B154="","",'Employee Master'!H154)</f>
        <v/>
      </c>
      <c r="O157" s="134">
        <f>IF('Employee Master'!B154="","",'Employee Master'!AD154)</f>
        <v/>
      </c>
    </row>
    <row r="158" ht="15" customHeight="1" s="120">
      <c r="A158" s="134">
        <f>IF('Employee Master'!B155="","",IF(AND('Employee Master'!AD155="Y",OR('Employee Master'!C155="12:15 PM",'Employee Master'!C155="2:00 PM"),'Employee Master'!E155="N"),"Y","N"))</f>
        <v/>
      </c>
      <c r="B158" s="134">
        <f>IF('Employee Master'!B155="","",'Employee Master'!B155)</f>
        <v/>
      </c>
      <c r="C158" s="134">
        <f>IF('Employee Master'!B155="","",'Employee Master'!C155)</f>
        <v/>
      </c>
      <c r="D158" s="134">
        <f>IF('Employee Master'!B155="","",'Employee Master'!E155)</f>
        <v/>
      </c>
      <c r="E158" s="134">
        <f>IF('Employee Master'!B155="","",'Employee Master'!F155)</f>
        <v/>
      </c>
      <c r="F158" s="134">
        <f>IF('Employee Master'!B155="","",'Employee Master'!P155)</f>
        <v/>
      </c>
      <c r="G158" s="134">
        <f>IF('Employee Master'!B155="","",'Employee Master'!J155)</f>
        <v/>
      </c>
      <c r="H158" s="134">
        <f>IF('Employee Master'!B155="","",'Employee Master'!I155)</f>
        <v/>
      </c>
      <c r="I158" s="134">
        <f>IF('Employee Master'!B155="","",'Employee Master'!K155)</f>
        <v/>
      </c>
      <c r="J158" s="134">
        <f>IF('Employee Master'!B155="","",'Employee Master'!L155)</f>
        <v/>
      </c>
      <c r="K158" s="134">
        <f>IF('Employee Master'!B155="","",'Employee Master'!T155)</f>
        <v/>
      </c>
      <c r="L158" s="134">
        <f>IF('Employee Master'!B155="","",'Employee Master'!M155)</f>
        <v/>
      </c>
      <c r="M158" s="134">
        <f>IF('Employee Master'!B155="","",'Employee Master'!N155)</f>
        <v/>
      </c>
      <c r="N158" s="134">
        <f>IF('Employee Master'!B155="","",'Employee Master'!H155)</f>
        <v/>
      </c>
      <c r="O158" s="134">
        <f>IF('Employee Master'!B155="","",'Employee Master'!AD155)</f>
        <v/>
      </c>
    </row>
    <row r="159" ht="15" customHeight="1" s="120">
      <c r="A159" s="134">
        <f>IF('Employee Master'!B156="","",IF(AND('Employee Master'!AD156="Y",OR('Employee Master'!C156="12:15 PM",'Employee Master'!C156="2:00 PM"),'Employee Master'!E156="N"),"Y","N"))</f>
        <v/>
      </c>
      <c r="B159" s="134">
        <f>IF('Employee Master'!B156="","",'Employee Master'!B156)</f>
        <v/>
      </c>
      <c r="C159" s="134">
        <f>IF('Employee Master'!B156="","",'Employee Master'!C156)</f>
        <v/>
      </c>
      <c r="D159" s="134">
        <f>IF('Employee Master'!B156="","",'Employee Master'!E156)</f>
        <v/>
      </c>
      <c r="E159" s="134">
        <f>IF('Employee Master'!B156="","",'Employee Master'!F156)</f>
        <v/>
      </c>
      <c r="F159" s="134">
        <f>IF('Employee Master'!B156="","",'Employee Master'!P156)</f>
        <v/>
      </c>
      <c r="G159" s="134">
        <f>IF('Employee Master'!B156="","",'Employee Master'!J156)</f>
        <v/>
      </c>
      <c r="H159" s="134">
        <f>IF('Employee Master'!B156="","",'Employee Master'!I156)</f>
        <v/>
      </c>
      <c r="I159" s="134">
        <f>IF('Employee Master'!B156="","",'Employee Master'!K156)</f>
        <v/>
      </c>
      <c r="J159" s="134">
        <f>IF('Employee Master'!B156="","",'Employee Master'!L156)</f>
        <v/>
      </c>
      <c r="K159" s="134">
        <f>IF('Employee Master'!B156="","",'Employee Master'!T156)</f>
        <v/>
      </c>
      <c r="L159" s="134">
        <f>IF('Employee Master'!B156="","",'Employee Master'!M156)</f>
        <v/>
      </c>
      <c r="M159" s="134">
        <f>IF('Employee Master'!B156="","",'Employee Master'!N156)</f>
        <v/>
      </c>
      <c r="N159" s="134">
        <f>IF('Employee Master'!B156="","",'Employee Master'!H156)</f>
        <v/>
      </c>
      <c r="O159" s="134">
        <f>IF('Employee Master'!B156="","",'Employee Master'!AD156)</f>
        <v/>
      </c>
    </row>
    <row r="160" ht="15" customHeight="1" s="120">
      <c r="A160" s="134">
        <f>IF('Employee Master'!B157="","",IF(AND('Employee Master'!AD157="Y",OR('Employee Master'!C157="12:15 PM",'Employee Master'!C157="2:00 PM"),'Employee Master'!E157="N"),"Y","N"))</f>
        <v/>
      </c>
      <c r="B160" s="134">
        <f>IF('Employee Master'!B157="","",'Employee Master'!B157)</f>
        <v/>
      </c>
      <c r="C160" s="134">
        <f>IF('Employee Master'!B157="","",'Employee Master'!C157)</f>
        <v/>
      </c>
      <c r="D160" s="134">
        <f>IF('Employee Master'!B157="","",'Employee Master'!E157)</f>
        <v/>
      </c>
      <c r="E160" s="134">
        <f>IF('Employee Master'!B157="","",'Employee Master'!F157)</f>
        <v/>
      </c>
      <c r="F160" s="134">
        <f>IF('Employee Master'!B157="","",'Employee Master'!P157)</f>
        <v/>
      </c>
      <c r="G160" s="134">
        <f>IF('Employee Master'!B157="","",'Employee Master'!J157)</f>
        <v/>
      </c>
      <c r="H160" s="134">
        <f>IF('Employee Master'!B157="","",'Employee Master'!I157)</f>
        <v/>
      </c>
      <c r="I160" s="134">
        <f>IF('Employee Master'!B157="","",'Employee Master'!K157)</f>
        <v/>
      </c>
      <c r="J160" s="134">
        <f>IF('Employee Master'!B157="","",'Employee Master'!L157)</f>
        <v/>
      </c>
      <c r="K160" s="134">
        <f>IF('Employee Master'!B157="","",'Employee Master'!T157)</f>
        <v/>
      </c>
      <c r="L160" s="134">
        <f>IF('Employee Master'!B157="","",'Employee Master'!M157)</f>
        <v/>
      </c>
      <c r="M160" s="134">
        <f>IF('Employee Master'!B157="","",'Employee Master'!N157)</f>
        <v/>
      </c>
      <c r="N160" s="134">
        <f>IF('Employee Master'!B157="","",'Employee Master'!H157)</f>
        <v/>
      </c>
      <c r="O160" s="134">
        <f>IF('Employee Master'!B157="","",'Employee Master'!AD157)</f>
        <v/>
      </c>
    </row>
    <row r="161" ht="15" customHeight="1" s="120">
      <c r="A161" s="134">
        <f>IF('Employee Master'!B158="","",IF(AND('Employee Master'!AD158="Y",OR('Employee Master'!C158="12:15 PM",'Employee Master'!C158="2:00 PM"),'Employee Master'!E158="N"),"Y","N"))</f>
        <v/>
      </c>
      <c r="B161" s="134">
        <f>IF('Employee Master'!B158="","",'Employee Master'!B158)</f>
        <v/>
      </c>
      <c r="C161" s="134">
        <f>IF('Employee Master'!B158="","",'Employee Master'!C158)</f>
        <v/>
      </c>
      <c r="D161" s="134">
        <f>IF('Employee Master'!B158="","",'Employee Master'!E158)</f>
        <v/>
      </c>
      <c r="E161" s="134">
        <f>IF('Employee Master'!B158="","",'Employee Master'!F158)</f>
        <v/>
      </c>
      <c r="F161" s="134">
        <f>IF('Employee Master'!B158="","",'Employee Master'!P158)</f>
        <v/>
      </c>
      <c r="G161" s="134">
        <f>IF('Employee Master'!B158="","",'Employee Master'!J158)</f>
        <v/>
      </c>
      <c r="H161" s="134">
        <f>IF('Employee Master'!B158="","",'Employee Master'!I158)</f>
        <v/>
      </c>
      <c r="I161" s="134">
        <f>IF('Employee Master'!B158="","",'Employee Master'!K158)</f>
        <v/>
      </c>
      <c r="J161" s="134">
        <f>IF('Employee Master'!B158="","",'Employee Master'!L158)</f>
        <v/>
      </c>
      <c r="K161" s="134">
        <f>IF('Employee Master'!B158="","",'Employee Master'!T158)</f>
        <v/>
      </c>
      <c r="L161" s="134">
        <f>IF('Employee Master'!B158="","",'Employee Master'!M158)</f>
        <v/>
      </c>
      <c r="M161" s="134">
        <f>IF('Employee Master'!B158="","",'Employee Master'!N158)</f>
        <v/>
      </c>
      <c r="N161" s="134">
        <f>IF('Employee Master'!B158="","",'Employee Master'!H158)</f>
        <v/>
      </c>
      <c r="O161" s="134">
        <f>IF('Employee Master'!B158="","",'Employee Master'!AD158)</f>
        <v/>
      </c>
    </row>
    <row r="162" ht="15" customHeight="1" s="120">
      <c r="A162" s="134">
        <f>IF('Employee Master'!B159="","",IF(AND('Employee Master'!AD159="Y",OR('Employee Master'!C159="12:15 PM",'Employee Master'!C159="2:00 PM"),'Employee Master'!E159="N"),"Y","N"))</f>
        <v/>
      </c>
      <c r="B162" s="134">
        <f>IF('Employee Master'!B159="","",'Employee Master'!B159)</f>
        <v/>
      </c>
      <c r="C162" s="134">
        <f>IF('Employee Master'!B159="","",'Employee Master'!C159)</f>
        <v/>
      </c>
      <c r="D162" s="134">
        <f>IF('Employee Master'!B159="","",'Employee Master'!E159)</f>
        <v/>
      </c>
      <c r="E162" s="134">
        <f>IF('Employee Master'!B159="","",'Employee Master'!F159)</f>
        <v/>
      </c>
      <c r="F162" s="134">
        <f>IF('Employee Master'!B159="","",'Employee Master'!P159)</f>
        <v/>
      </c>
      <c r="G162" s="134">
        <f>IF('Employee Master'!B159="","",'Employee Master'!J159)</f>
        <v/>
      </c>
      <c r="H162" s="134">
        <f>IF('Employee Master'!B159="","",'Employee Master'!I159)</f>
        <v/>
      </c>
      <c r="I162" s="134">
        <f>IF('Employee Master'!B159="","",'Employee Master'!K159)</f>
        <v/>
      </c>
      <c r="J162" s="134">
        <f>IF('Employee Master'!B159="","",'Employee Master'!L159)</f>
        <v/>
      </c>
      <c r="K162" s="134">
        <f>IF('Employee Master'!B159="","",'Employee Master'!T159)</f>
        <v/>
      </c>
      <c r="L162" s="134">
        <f>IF('Employee Master'!B159="","",'Employee Master'!M159)</f>
        <v/>
      </c>
      <c r="M162" s="134">
        <f>IF('Employee Master'!B159="","",'Employee Master'!N159)</f>
        <v/>
      </c>
      <c r="N162" s="134">
        <f>IF('Employee Master'!B159="","",'Employee Master'!H159)</f>
        <v/>
      </c>
      <c r="O162" s="134">
        <f>IF('Employee Master'!B159="","",'Employee Master'!AD159)</f>
        <v/>
      </c>
    </row>
    <row r="163" ht="15" customHeight="1" s="120">
      <c r="A163" s="134">
        <f>IF('Employee Master'!B160="","",IF(AND('Employee Master'!AD160="Y",OR('Employee Master'!C160="12:15 PM",'Employee Master'!C160="2:00 PM"),'Employee Master'!E160="N"),"Y","N"))</f>
        <v/>
      </c>
      <c r="B163" s="134">
        <f>IF('Employee Master'!B160="","",'Employee Master'!B160)</f>
        <v/>
      </c>
      <c r="C163" s="134">
        <f>IF('Employee Master'!B160="","",'Employee Master'!C160)</f>
        <v/>
      </c>
      <c r="D163" s="134">
        <f>IF('Employee Master'!B160="","",'Employee Master'!E160)</f>
        <v/>
      </c>
      <c r="E163" s="134">
        <f>IF('Employee Master'!B160="","",'Employee Master'!F160)</f>
        <v/>
      </c>
      <c r="F163" s="134">
        <f>IF('Employee Master'!B160="","",'Employee Master'!P160)</f>
        <v/>
      </c>
      <c r="G163" s="134">
        <f>IF('Employee Master'!B160="","",'Employee Master'!J160)</f>
        <v/>
      </c>
      <c r="H163" s="134">
        <f>IF('Employee Master'!B160="","",'Employee Master'!I160)</f>
        <v/>
      </c>
      <c r="I163" s="134">
        <f>IF('Employee Master'!B160="","",'Employee Master'!K160)</f>
        <v/>
      </c>
      <c r="J163" s="134">
        <f>IF('Employee Master'!B160="","",'Employee Master'!L160)</f>
        <v/>
      </c>
      <c r="K163" s="134">
        <f>IF('Employee Master'!B160="","",'Employee Master'!T160)</f>
        <v/>
      </c>
      <c r="L163" s="134">
        <f>IF('Employee Master'!B160="","",'Employee Master'!M160)</f>
        <v/>
      </c>
      <c r="M163" s="134">
        <f>IF('Employee Master'!B160="","",'Employee Master'!N160)</f>
        <v/>
      </c>
      <c r="N163" s="134">
        <f>IF('Employee Master'!B160="","",'Employee Master'!H160)</f>
        <v/>
      </c>
      <c r="O163" s="134">
        <f>IF('Employee Master'!B160="","",'Employee Master'!AD160)</f>
        <v/>
      </c>
    </row>
    <row r="164" ht="15" customHeight="1" s="120">
      <c r="A164" s="134">
        <f>IF('Employee Master'!B161="","",IF(AND('Employee Master'!AD161="Y",OR('Employee Master'!C161="12:15 PM",'Employee Master'!C161="2:00 PM"),'Employee Master'!E161="N"),"Y","N"))</f>
        <v/>
      </c>
      <c r="B164" s="134">
        <f>IF('Employee Master'!B161="","",'Employee Master'!B161)</f>
        <v/>
      </c>
      <c r="C164" s="134">
        <f>IF('Employee Master'!B161="","",'Employee Master'!C161)</f>
        <v/>
      </c>
      <c r="D164" s="134">
        <f>IF('Employee Master'!B161="","",'Employee Master'!E161)</f>
        <v/>
      </c>
      <c r="E164" s="134">
        <f>IF('Employee Master'!B161="","",'Employee Master'!F161)</f>
        <v/>
      </c>
      <c r="F164" s="134">
        <f>IF('Employee Master'!B161="","",'Employee Master'!P161)</f>
        <v/>
      </c>
      <c r="G164" s="134">
        <f>IF('Employee Master'!B161="","",'Employee Master'!J161)</f>
        <v/>
      </c>
      <c r="H164" s="134">
        <f>IF('Employee Master'!B161="","",'Employee Master'!I161)</f>
        <v/>
      </c>
      <c r="I164" s="134">
        <f>IF('Employee Master'!B161="","",'Employee Master'!K161)</f>
        <v/>
      </c>
      <c r="J164" s="134">
        <f>IF('Employee Master'!B161="","",'Employee Master'!L161)</f>
        <v/>
      </c>
      <c r="K164" s="134">
        <f>IF('Employee Master'!B161="","",'Employee Master'!T161)</f>
        <v/>
      </c>
      <c r="L164" s="134">
        <f>IF('Employee Master'!B161="","",'Employee Master'!M161)</f>
        <v/>
      </c>
      <c r="M164" s="134">
        <f>IF('Employee Master'!B161="","",'Employee Master'!N161)</f>
        <v/>
      </c>
      <c r="N164" s="134">
        <f>IF('Employee Master'!B161="","",'Employee Master'!H161)</f>
        <v/>
      </c>
      <c r="O164" s="134">
        <f>IF('Employee Master'!B161="","",'Employee Master'!AD161)</f>
        <v/>
      </c>
    </row>
    <row r="165" ht="15" customHeight="1" s="120">
      <c r="A165" s="134">
        <f>IF('Employee Master'!B162="","",IF(AND('Employee Master'!AD162="Y",OR('Employee Master'!C162="12:15 PM",'Employee Master'!C162="2:00 PM"),'Employee Master'!E162="N"),"Y","N"))</f>
        <v/>
      </c>
      <c r="B165" s="134">
        <f>IF('Employee Master'!B162="","",'Employee Master'!B162)</f>
        <v/>
      </c>
      <c r="C165" s="134">
        <f>IF('Employee Master'!B162="","",'Employee Master'!C162)</f>
        <v/>
      </c>
      <c r="D165" s="134">
        <f>IF('Employee Master'!B162="","",'Employee Master'!E162)</f>
        <v/>
      </c>
      <c r="E165" s="134">
        <f>IF('Employee Master'!B162="","",'Employee Master'!F162)</f>
        <v/>
      </c>
      <c r="F165" s="134">
        <f>IF('Employee Master'!B162="","",'Employee Master'!P162)</f>
        <v/>
      </c>
      <c r="G165" s="134">
        <f>IF('Employee Master'!B162="","",'Employee Master'!J162)</f>
        <v/>
      </c>
      <c r="H165" s="134">
        <f>IF('Employee Master'!B162="","",'Employee Master'!I162)</f>
        <v/>
      </c>
      <c r="I165" s="134">
        <f>IF('Employee Master'!B162="","",'Employee Master'!K162)</f>
        <v/>
      </c>
      <c r="J165" s="134">
        <f>IF('Employee Master'!B162="","",'Employee Master'!L162)</f>
        <v/>
      </c>
      <c r="K165" s="134">
        <f>IF('Employee Master'!B162="","",'Employee Master'!T162)</f>
        <v/>
      </c>
      <c r="L165" s="134">
        <f>IF('Employee Master'!B162="","",'Employee Master'!M162)</f>
        <v/>
      </c>
      <c r="M165" s="134">
        <f>IF('Employee Master'!B162="","",'Employee Master'!N162)</f>
        <v/>
      </c>
      <c r="N165" s="134">
        <f>IF('Employee Master'!B162="","",'Employee Master'!H162)</f>
        <v/>
      </c>
      <c r="O165" s="134">
        <f>IF('Employee Master'!B162="","",'Employee Master'!AD162)</f>
        <v/>
      </c>
    </row>
    <row r="166" ht="15" customHeight="1" s="120">
      <c r="A166" s="134">
        <f>IF('Employee Master'!B163="","",IF(AND('Employee Master'!AD163="Y",OR('Employee Master'!C163="12:15 PM",'Employee Master'!C163="2:00 PM"),'Employee Master'!E163="N"),"Y","N"))</f>
        <v/>
      </c>
      <c r="B166" s="134">
        <f>IF('Employee Master'!B163="","",'Employee Master'!B163)</f>
        <v/>
      </c>
      <c r="C166" s="134">
        <f>IF('Employee Master'!B163="","",'Employee Master'!C163)</f>
        <v/>
      </c>
      <c r="D166" s="134">
        <f>IF('Employee Master'!B163="","",'Employee Master'!E163)</f>
        <v/>
      </c>
      <c r="E166" s="134">
        <f>IF('Employee Master'!B163="","",'Employee Master'!F163)</f>
        <v/>
      </c>
      <c r="F166" s="134">
        <f>IF('Employee Master'!B163="","",'Employee Master'!P163)</f>
        <v/>
      </c>
      <c r="G166" s="134">
        <f>IF('Employee Master'!B163="","",'Employee Master'!J163)</f>
        <v/>
      </c>
      <c r="H166" s="134">
        <f>IF('Employee Master'!B163="","",'Employee Master'!I163)</f>
        <v/>
      </c>
      <c r="I166" s="134">
        <f>IF('Employee Master'!B163="","",'Employee Master'!K163)</f>
        <v/>
      </c>
      <c r="J166" s="134">
        <f>IF('Employee Master'!B163="","",'Employee Master'!L163)</f>
        <v/>
      </c>
      <c r="K166" s="134">
        <f>IF('Employee Master'!B163="","",'Employee Master'!T163)</f>
        <v/>
      </c>
      <c r="L166" s="134">
        <f>IF('Employee Master'!B163="","",'Employee Master'!M163)</f>
        <v/>
      </c>
      <c r="M166" s="134">
        <f>IF('Employee Master'!B163="","",'Employee Master'!N163)</f>
        <v/>
      </c>
      <c r="N166" s="134">
        <f>IF('Employee Master'!B163="","",'Employee Master'!H163)</f>
        <v/>
      </c>
      <c r="O166" s="134">
        <f>IF('Employee Master'!B163="","",'Employee Master'!AD163)</f>
        <v/>
      </c>
    </row>
    <row r="167" ht="15" customHeight="1" s="120">
      <c r="A167" s="134">
        <f>IF('Employee Master'!B164="","",IF(AND('Employee Master'!AD164="Y",OR('Employee Master'!C164="12:15 PM",'Employee Master'!C164="2:00 PM"),'Employee Master'!E164="N"),"Y","N"))</f>
        <v/>
      </c>
      <c r="B167" s="134">
        <f>IF('Employee Master'!B164="","",'Employee Master'!B164)</f>
        <v/>
      </c>
      <c r="C167" s="134">
        <f>IF('Employee Master'!B164="","",'Employee Master'!C164)</f>
        <v/>
      </c>
      <c r="D167" s="134">
        <f>IF('Employee Master'!B164="","",'Employee Master'!E164)</f>
        <v/>
      </c>
      <c r="E167" s="134">
        <f>IF('Employee Master'!B164="","",'Employee Master'!F164)</f>
        <v/>
      </c>
      <c r="F167" s="134">
        <f>IF('Employee Master'!B164="","",'Employee Master'!P164)</f>
        <v/>
      </c>
      <c r="G167" s="134">
        <f>IF('Employee Master'!B164="","",'Employee Master'!J164)</f>
        <v/>
      </c>
      <c r="H167" s="134">
        <f>IF('Employee Master'!B164="","",'Employee Master'!I164)</f>
        <v/>
      </c>
      <c r="I167" s="134">
        <f>IF('Employee Master'!B164="","",'Employee Master'!K164)</f>
        <v/>
      </c>
      <c r="J167" s="134">
        <f>IF('Employee Master'!B164="","",'Employee Master'!L164)</f>
        <v/>
      </c>
      <c r="K167" s="134">
        <f>IF('Employee Master'!B164="","",'Employee Master'!T164)</f>
        <v/>
      </c>
      <c r="L167" s="134">
        <f>IF('Employee Master'!B164="","",'Employee Master'!M164)</f>
        <v/>
      </c>
      <c r="M167" s="134">
        <f>IF('Employee Master'!B164="","",'Employee Master'!N164)</f>
        <v/>
      </c>
      <c r="N167" s="134">
        <f>IF('Employee Master'!B164="","",'Employee Master'!H164)</f>
        <v/>
      </c>
      <c r="O167" s="134">
        <f>IF('Employee Master'!B164="","",'Employee Master'!AD164)</f>
        <v/>
      </c>
    </row>
    <row r="168" ht="15" customHeight="1" s="120">
      <c r="A168" s="134">
        <f>IF('Employee Master'!B165="","",IF(AND('Employee Master'!AD165="Y",OR('Employee Master'!C165="12:15 PM",'Employee Master'!C165="2:00 PM"),'Employee Master'!E165="N"),"Y","N"))</f>
        <v/>
      </c>
      <c r="B168" s="134">
        <f>IF('Employee Master'!B165="","",'Employee Master'!B165)</f>
        <v/>
      </c>
      <c r="C168" s="134">
        <f>IF('Employee Master'!B165="","",'Employee Master'!C165)</f>
        <v/>
      </c>
      <c r="D168" s="134">
        <f>IF('Employee Master'!B165="","",'Employee Master'!E165)</f>
        <v/>
      </c>
      <c r="E168" s="134">
        <f>IF('Employee Master'!B165="","",'Employee Master'!F165)</f>
        <v/>
      </c>
      <c r="F168" s="134">
        <f>IF('Employee Master'!B165="","",'Employee Master'!P165)</f>
        <v/>
      </c>
      <c r="G168" s="134">
        <f>IF('Employee Master'!B165="","",'Employee Master'!J165)</f>
        <v/>
      </c>
      <c r="H168" s="134">
        <f>IF('Employee Master'!B165="","",'Employee Master'!I165)</f>
        <v/>
      </c>
      <c r="I168" s="134">
        <f>IF('Employee Master'!B165="","",'Employee Master'!K165)</f>
        <v/>
      </c>
      <c r="J168" s="134">
        <f>IF('Employee Master'!B165="","",'Employee Master'!L165)</f>
        <v/>
      </c>
      <c r="K168" s="134">
        <f>IF('Employee Master'!B165="","",'Employee Master'!T165)</f>
        <v/>
      </c>
      <c r="L168" s="134">
        <f>IF('Employee Master'!B165="","",'Employee Master'!M165)</f>
        <v/>
      </c>
      <c r="M168" s="134">
        <f>IF('Employee Master'!B165="","",'Employee Master'!N165)</f>
        <v/>
      </c>
      <c r="N168" s="134">
        <f>IF('Employee Master'!B165="","",'Employee Master'!H165)</f>
        <v/>
      </c>
      <c r="O168" s="134">
        <f>IF('Employee Master'!B165="","",'Employee Master'!AD165)</f>
        <v/>
      </c>
    </row>
    <row r="169" ht="15" customHeight="1" s="120">
      <c r="A169" s="134">
        <f>IF('Employee Master'!B166="","",IF(AND('Employee Master'!AD166="Y",OR('Employee Master'!C166="12:15 PM",'Employee Master'!C166="2:00 PM"),'Employee Master'!E166="N"),"Y","N"))</f>
        <v/>
      </c>
      <c r="B169" s="134">
        <f>IF('Employee Master'!B166="","",'Employee Master'!B166)</f>
        <v/>
      </c>
      <c r="C169" s="134">
        <f>IF('Employee Master'!B166="","",'Employee Master'!C166)</f>
        <v/>
      </c>
      <c r="D169" s="134">
        <f>IF('Employee Master'!B166="","",'Employee Master'!E166)</f>
        <v/>
      </c>
      <c r="E169" s="134">
        <f>IF('Employee Master'!B166="","",'Employee Master'!F166)</f>
        <v/>
      </c>
      <c r="F169" s="134">
        <f>IF('Employee Master'!B166="","",'Employee Master'!P166)</f>
        <v/>
      </c>
      <c r="G169" s="134">
        <f>IF('Employee Master'!B166="","",'Employee Master'!J166)</f>
        <v/>
      </c>
      <c r="H169" s="134">
        <f>IF('Employee Master'!B166="","",'Employee Master'!I166)</f>
        <v/>
      </c>
      <c r="I169" s="134">
        <f>IF('Employee Master'!B166="","",'Employee Master'!K166)</f>
        <v/>
      </c>
      <c r="J169" s="134">
        <f>IF('Employee Master'!B166="","",'Employee Master'!L166)</f>
        <v/>
      </c>
      <c r="K169" s="134">
        <f>IF('Employee Master'!B166="","",'Employee Master'!T166)</f>
        <v/>
      </c>
      <c r="L169" s="134">
        <f>IF('Employee Master'!B166="","",'Employee Master'!M166)</f>
        <v/>
      </c>
      <c r="M169" s="134">
        <f>IF('Employee Master'!B166="","",'Employee Master'!N166)</f>
        <v/>
      </c>
      <c r="N169" s="134">
        <f>IF('Employee Master'!B166="","",'Employee Master'!H166)</f>
        <v/>
      </c>
      <c r="O169" s="134">
        <f>IF('Employee Master'!B166="","",'Employee Master'!AD166)</f>
        <v/>
      </c>
    </row>
  </sheetData>
  <autoFilter ref="A4:O169"/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4" customWidth="1" style="134" min="1" max="1"/>
  </cols>
  <sheetData>
    <row r="1" ht="15" customHeight="1" s="120">
      <c r="A1" s="192" t="inlineStr">
        <is>
          <t>Eligible AM Names (for dropdowns)</t>
        </is>
      </c>
    </row>
    <row r="2" ht="15" customHeight="1" s="120">
      <c r="A2" s="215" t="inlineStr">
        <is>
          <t>Names as of current Schedule Date (49 eligible). Re-run Phase 2 refresh or filter AM Pool after changing date.</t>
        </is>
      </c>
    </row>
    <row r="3" ht="15" customHeight="1" s="120">
      <c r="A3" s="134" t="inlineStr">
        <is>
          <t>PRIMARY METHOD: Go to AM Pool sheet → filter column A = Y → copy names into Playbook.</t>
        </is>
      </c>
    </row>
    <row r="4" ht="15" customHeight="1" s="120">
      <c r="A4" s="216" t="inlineStr">
        <is>
          <t>Name</t>
        </is>
      </c>
    </row>
    <row r="5" ht="15" customHeight="1" s="120">
      <c r="A5" s="217" t="inlineStr">
        <is>
          <t>Adeyeye Opaaje</t>
        </is>
      </c>
    </row>
    <row r="6" ht="15" customHeight="1" s="120">
      <c r="A6" s="217" t="inlineStr">
        <is>
          <t>Ahamed John</t>
        </is>
      </c>
    </row>
    <row r="7" ht="15" customHeight="1" s="120">
      <c r="A7" s="217" t="inlineStr">
        <is>
          <t>Aleah Mckinnon</t>
        </is>
      </c>
    </row>
    <row r="8" ht="15" customHeight="1" s="120">
      <c r="A8" s="217" t="inlineStr">
        <is>
          <t>Allen Suggs</t>
        </is>
      </c>
    </row>
    <row r="9" ht="15" customHeight="1" s="120">
      <c r="A9" s="217" t="inlineStr">
        <is>
          <t>Anariah Daniel</t>
        </is>
      </c>
    </row>
    <row r="10" ht="15" customHeight="1" s="120">
      <c r="A10" s="217" t="inlineStr">
        <is>
          <t>Ashia Norman</t>
        </is>
      </c>
    </row>
    <row r="11" ht="15" customHeight="1" s="120">
      <c r="A11" s="217" t="inlineStr">
        <is>
          <t>Benjamin Crosby</t>
        </is>
      </c>
    </row>
    <row r="12" ht="15" customHeight="1" s="120">
      <c r="A12" s="217" t="inlineStr">
        <is>
          <t>Brian Lee</t>
        </is>
      </c>
    </row>
    <row r="13" ht="15" customHeight="1" s="120">
      <c r="A13" s="217" t="inlineStr">
        <is>
          <t>Brianna Bryant</t>
        </is>
      </c>
    </row>
    <row r="14" ht="15" customHeight="1" s="120">
      <c r="A14" s="217" t="inlineStr">
        <is>
          <t>Chrystol Harvey</t>
        </is>
      </c>
    </row>
    <row r="15" ht="15" customHeight="1" s="120">
      <c r="A15" s="217" t="inlineStr">
        <is>
          <t>Cicely Thicklin</t>
        </is>
      </c>
    </row>
    <row r="16" ht="15" customHeight="1" s="120">
      <c r="A16" s="217" t="inlineStr">
        <is>
          <t>Demetrius Thomas</t>
        </is>
      </c>
    </row>
    <row r="17" ht="15" customHeight="1" s="120">
      <c r="A17" s="217" t="inlineStr">
        <is>
          <t>Dequavius Parker</t>
        </is>
      </c>
    </row>
    <row r="18" ht="15" customHeight="1" s="120">
      <c r="A18" s="217" t="inlineStr">
        <is>
          <t>Feleke Tekle</t>
        </is>
      </c>
    </row>
    <row r="19" ht="15" customHeight="1" s="120">
      <c r="A19" s="217" t="inlineStr">
        <is>
          <t>Fikre Hadera</t>
        </is>
      </c>
    </row>
    <row r="20" ht="15" customHeight="1" s="120">
      <c r="A20" s="217" t="inlineStr">
        <is>
          <t>Habtewold Daba</t>
        </is>
      </c>
    </row>
    <row r="21" ht="15" customHeight="1" s="120">
      <c r="A21" s="217" t="inlineStr">
        <is>
          <t>Isaiah Williams</t>
        </is>
      </c>
    </row>
    <row r="22" ht="15" customHeight="1" s="120">
      <c r="A22" s="217" t="inlineStr">
        <is>
          <t>Jacquatta Green</t>
        </is>
      </c>
    </row>
    <row r="23" ht="15" customHeight="1" s="120">
      <c r="A23" s="217" t="inlineStr">
        <is>
          <t>Jada Batiste</t>
        </is>
      </c>
    </row>
    <row r="24" ht="15" customHeight="1" s="120">
      <c r="A24" s="217" t="inlineStr">
        <is>
          <t>Jamal Reynolds</t>
        </is>
      </c>
    </row>
    <row r="25" ht="15" customHeight="1" s="120">
      <c r="A25" s="217" t="inlineStr">
        <is>
          <t>Jessika Williams</t>
        </is>
      </c>
    </row>
    <row r="26" ht="15" customHeight="1" s="120">
      <c r="A26" s="217" t="inlineStr">
        <is>
          <t>Khadijah Van Holten</t>
        </is>
      </c>
    </row>
    <row r="27" ht="15" customHeight="1" s="120">
      <c r="A27" s="217" t="inlineStr">
        <is>
          <t>Kidest Solomon</t>
        </is>
      </c>
    </row>
    <row r="28" ht="15" customHeight="1" s="120">
      <c r="A28" s="217" t="inlineStr">
        <is>
          <t>Kimberly Morrison</t>
        </is>
      </c>
    </row>
    <row r="29" ht="15" customHeight="1" s="120">
      <c r="A29" s="217" t="inlineStr">
        <is>
          <t>Larry Fuller</t>
        </is>
      </c>
    </row>
    <row r="30" ht="15" customHeight="1" s="120">
      <c r="A30" s="217" t="inlineStr">
        <is>
          <t>Lynn Yi-Smith</t>
        </is>
      </c>
    </row>
    <row r="31" ht="15" customHeight="1" s="120">
      <c r="A31" s="217" t="inlineStr">
        <is>
          <t>Mamadou Seck</t>
        </is>
      </c>
    </row>
    <row r="32" ht="15" customHeight="1" s="120">
      <c r="A32" s="217" t="inlineStr">
        <is>
          <t>Marquise Jackson</t>
        </is>
      </c>
    </row>
    <row r="33" ht="15" customHeight="1" s="120">
      <c r="A33" s="217" t="inlineStr">
        <is>
          <t>Maryse Camille</t>
        </is>
      </c>
    </row>
    <row r="34" ht="15" customHeight="1" s="120">
      <c r="A34" s="217" t="inlineStr">
        <is>
          <t>Micheal Manning</t>
        </is>
      </c>
    </row>
    <row r="35" ht="15" customHeight="1" s="120">
      <c r="A35" s="217" t="inlineStr">
        <is>
          <t>Mildred Torres</t>
        </is>
      </c>
    </row>
    <row r="36" ht="15" customHeight="1" s="120">
      <c r="A36" s="217" t="inlineStr">
        <is>
          <t>Moneshia Echols</t>
        </is>
      </c>
    </row>
    <row r="37" ht="15" customHeight="1" s="120">
      <c r="A37" s="217" t="inlineStr">
        <is>
          <t>Monica Ortiz</t>
        </is>
      </c>
    </row>
    <row r="38" ht="15" customHeight="1" s="120">
      <c r="A38" s="217" t="inlineStr">
        <is>
          <t>Monique Hicks</t>
        </is>
      </c>
    </row>
    <row r="39" ht="15" customHeight="1" s="120">
      <c r="A39" s="217" t="inlineStr">
        <is>
          <t>Natasha Carbon</t>
        </is>
      </c>
    </row>
    <row r="40" ht="15" customHeight="1" s="120">
      <c r="A40" s="217" t="inlineStr">
        <is>
          <t>Samiroe Ford</t>
        </is>
      </c>
    </row>
    <row r="41" ht="15" customHeight="1" s="120">
      <c r="A41" s="217" t="inlineStr">
        <is>
          <t>Sandra Gerson</t>
        </is>
      </c>
    </row>
    <row r="42" ht="15" customHeight="1" s="120">
      <c r="A42" s="217" t="inlineStr">
        <is>
          <t>Sara Alemu</t>
        </is>
      </c>
    </row>
    <row r="43" ht="15" customHeight="1" s="120">
      <c r="A43" s="217" t="inlineStr">
        <is>
          <t>Sarita Jewell</t>
        </is>
      </c>
    </row>
    <row r="44" ht="15" customHeight="1" s="120">
      <c r="A44" s="217" t="inlineStr">
        <is>
          <t>Shanta Islam</t>
        </is>
      </c>
    </row>
    <row r="45" ht="15" customHeight="1" s="120">
      <c r="A45" s="217" t="inlineStr">
        <is>
          <t>Shawanda Webb</t>
        </is>
      </c>
    </row>
    <row r="46" ht="15" customHeight="1" s="120">
      <c r="A46" s="217" t="inlineStr">
        <is>
          <t>Tanya Organ</t>
        </is>
      </c>
    </row>
    <row r="47" ht="15" customHeight="1" s="120">
      <c r="A47" s="217" t="inlineStr">
        <is>
          <t>Tiffany Felton</t>
        </is>
      </c>
    </row>
    <row r="48" ht="15" customHeight="1" s="120">
      <c r="A48" s="217" t="inlineStr">
        <is>
          <t>Tyana Gutzmore</t>
        </is>
      </c>
    </row>
    <row r="49" ht="15" customHeight="1" s="120">
      <c r="A49" s="217" t="inlineStr">
        <is>
          <t>Vanessa Cortes</t>
        </is>
      </c>
    </row>
    <row r="50" ht="15" customHeight="1" s="120">
      <c r="A50" s="217" t="inlineStr">
        <is>
          <t>Veronda Jones</t>
        </is>
      </c>
    </row>
    <row r="51" ht="15" customHeight="1" s="120">
      <c r="A51" s="217" t="inlineStr">
        <is>
          <t>Yahkirah Manggrum</t>
        </is>
      </c>
    </row>
    <row r="52" ht="15" customHeight="1" s="120">
      <c r="A52" s="217" t="inlineStr">
        <is>
          <t>Lashawn Jones</t>
        </is>
      </c>
    </row>
    <row r="53" ht="15" customHeight="1" s="120">
      <c r="A53" s="217" t="inlineStr">
        <is>
          <t>George Whitehead</t>
        </is>
      </c>
    </row>
    <row r="54" ht="15" customHeight="1" s="120">
      <c r="A54" s="217" t="n"/>
    </row>
    <row r="55" ht="15" customHeight="1" s="120">
      <c r="A55" s="217" t="n"/>
    </row>
    <row r="56" ht="15" customHeight="1" s="120">
      <c r="A56" s="217" t="n"/>
    </row>
    <row r="57" ht="15" customHeight="1" s="120">
      <c r="A57" s="217" t="n"/>
    </row>
    <row r="58" ht="15" customHeight="1" s="120">
      <c r="A58" s="217" t="n"/>
    </row>
    <row r="59" ht="15" customHeight="1" s="120">
      <c r="A59" s="217" t="n"/>
    </row>
    <row r="60" ht="15" customHeight="1" s="120">
      <c r="A60" s="217" t="n"/>
    </row>
    <row r="61" ht="15" customHeight="1" s="120">
      <c r="A61" s="217" t="n"/>
    </row>
    <row r="62" ht="15" customHeight="1" s="120">
      <c r="A62" s="217" t="n"/>
    </row>
    <row r="63" ht="15" customHeight="1" s="120">
      <c r="A63" s="217" t="n"/>
    </row>
    <row r="64" ht="15" customHeight="1" s="120">
      <c r="A64" s="217" t="n"/>
    </row>
    <row r="65" ht="15" customHeight="1" s="120">
      <c r="A65" s="217" t="n"/>
    </row>
    <row r="66" ht="15" customHeight="1" s="120">
      <c r="A66" s="217" t="n"/>
    </row>
    <row r="67" ht="15" customHeight="1" s="120">
      <c r="A67" s="217" t="n"/>
    </row>
    <row r="68" ht="15" customHeight="1" s="120">
      <c r="A68" s="217" t="n"/>
    </row>
    <row r="69" ht="15" customHeight="1" s="120">
      <c r="A69" s="217" t="n"/>
    </row>
    <row r="70" ht="15" customHeight="1" s="120">
      <c r="A70" s="217" t="n"/>
    </row>
    <row r="71" ht="15" customHeight="1" s="120">
      <c r="A71" s="217" t="n"/>
    </row>
    <row r="72" ht="15" customHeight="1" s="120">
      <c r="A72" s="217" t="n"/>
    </row>
    <row r="73" ht="15" customHeight="1" s="120">
      <c r="A73" s="217" t="n"/>
    </row>
    <row r="74" ht="15" customHeight="1" s="120">
      <c r="A74" s="217" t="n"/>
    </row>
    <row r="75" ht="15" customHeight="1" s="120">
      <c r="A75" s="217" t="n"/>
    </row>
    <row r="76" ht="15" customHeight="1" s="120">
      <c r="A76" s="217" t="n"/>
    </row>
    <row r="77" ht="15" customHeight="1" s="120">
      <c r="A77" s="217" t="n"/>
    </row>
    <row r="78" ht="15" customHeight="1" s="120">
      <c r="A78" s="217" t="n"/>
    </row>
    <row r="79" ht="15" customHeight="1" s="120">
      <c r="A79" s="217" t="n"/>
    </row>
    <row r="80" ht="15" customHeight="1" s="120">
      <c r="A80" s="217" t="n"/>
    </row>
    <row r="81" ht="15" customHeight="1" s="120">
      <c r="A81" s="217" t="n"/>
    </row>
    <row r="82" ht="15" customHeight="1" s="120">
      <c r="A82" s="217" t="n"/>
    </row>
    <row r="83" ht="15" customHeight="1" s="120">
      <c r="A83" s="2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20">
      <c r="A1" s="177" t="inlineStr">
        <is>
          <t>Eligible PM Names (for dropdowns)</t>
        </is>
      </c>
    </row>
    <row r="2" ht="15" customHeight="1" s="120">
      <c r="A2" s="134" t="inlineStr">
        <is>
          <t>41 eligible. Oumou Sane off Mon/Tue — not in pool on Mondays.</t>
        </is>
      </c>
    </row>
    <row r="3" ht="15" customHeight="1" s="120">
      <c r="A3" s="218" t="inlineStr">
        <is>
          <t>Name</t>
        </is>
      </c>
    </row>
    <row r="4" ht="15" customHeight="1" s="120">
      <c r="A4" s="134" t="inlineStr">
        <is>
          <t>Aaliyah Snider</t>
        </is>
      </c>
    </row>
    <row r="5" ht="15" customHeight="1" s="120">
      <c r="A5" s="134" t="inlineStr">
        <is>
          <t>Agnes Bammannage</t>
        </is>
      </c>
    </row>
    <row r="6" ht="15" customHeight="1" s="120">
      <c r="A6" s="134" t="inlineStr">
        <is>
          <t>Akuugo Nduaguba</t>
        </is>
      </c>
    </row>
    <row r="7" ht="15" customHeight="1" s="120">
      <c r="A7" s="134" t="inlineStr">
        <is>
          <t>Alyssa Prince</t>
        </is>
      </c>
    </row>
    <row r="8" ht="15" customHeight="1" s="120">
      <c r="A8" s="134" t="inlineStr">
        <is>
          <t>Amadou Diallo</t>
        </is>
      </c>
    </row>
    <row r="9" ht="15" customHeight="1" s="120">
      <c r="A9" s="134" t="inlineStr">
        <is>
          <t>Ashley Lazenby</t>
        </is>
      </c>
    </row>
    <row r="10" ht="15" customHeight="1" s="120">
      <c r="A10" s="134" t="inlineStr">
        <is>
          <t>Bousso Dioum</t>
        </is>
      </c>
    </row>
    <row r="11" ht="15" customHeight="1" s="120">
      <c r="A11" s="134" t="inlineStr">
        <is>
          <t>Braheem Wooden</t>
        </is>
      </c>
    </row>
    <row r="12" ht="15" customHeight="1" s="120">
      <c r="A12" s="134" t="inlineStr">
        <is>
          <t>Brittney Quave</t>
        </is>
      </c>
    </row>
    <row r="13" ht="15" customHeight="1" s="120">
      <c r="A13" s="134" t="inlineStr">
        <is>
          <t>Carrie Weaver</t>
        </is>
      </c>
    </row>
    <row r="14" ht="15" customHeight="1" s="120">
      <c r="A14" s="134" t="inlineStr">
        <is>
          <t>Cheikh Sylla</t>
        </is>
      </c>
    </row>
    <row r="15" ht="15" customHeight="1" s="120">
      <c r="A15" s="134" t="inlineStr">
        <is>
          <t>Chiedu Memeh</t>
        </is>
      </c>
    </row>
    <row r="16" ht="15" customHeight="1" s="120">
      <c r="A16" s="134" t="inlineStr">
        <is>
          <t>Darrius Dunlap</t>
        </is>
      </c>
    </row>
    <row r="17" ht="15" customHeight="1" s="120">
      <c r="A17" s="134" t="inlineStr">
        <is>
          <t>David Holloman</t>
        </is>
      </c>
    </row>
    <row r="18" ht="15" customHeight="1" s="120">
      <c r="A18" s="134" t="inlineStr">
        <is>
          <t>De'Anna Reese</t>
        </is>
      </c>
    </row>
    <row r="19" ht="15" customHeight="1" s="120">
      <c r="A19" s="134" t="inlineStr">
        <is>
          <t>Elena Thomas</t>
        </is>
      </c>
    </row>
    <row r="20" ht="15" customHeight="1" s="120">
      <c r="A20" s="134" t="inlineStr">
        <is>
          <t>Elizabeth Harlee</t>
        </is>
      </c>
    </row>
    <row r="21" ht="15" customHeight="1" s="120">
      <c r="A21" s="134" t="inlineStr">
        <is>
          <t>Eyerusalem Esubaluw</t>
        </is>
      </c>
    </row>
    <row r="22" ht="15" customHeight="1" s="120">
      <c r="A22" s="134" t="inlineStr">
        <is>
          <t>Falana Broughton</t>
        </is>
      </c>
    </row>
    <row r="23" ht="15" customHeight="1" s="120">
      <c r="A23" s="134" t="inlineStr">
        <is>
          <t>Heather Wray</t>
        </is>
      </c>
    </row>
    <row r="24" ht="15" customHeight="1" s="120">
      <c r="A24" s="134" t="inlineStr">
        <is>
          <t>Ivory Johnson</t>
        </is>
      </c>
    </row>
    <row r="25" ht="15" customHeight="1" s="120">
      <c r="A25" s="134" t="inlineStr">
        <is>
          <t>John Davis</t>
        </is>
      </c>
    </row>
    <row r="26" ht="15" customHeight="1" s="120">
      <c r="A26" s="134" t="inlineStr">
        <is>
          <t>Jordan Gilley</t>
        </is>
      </c>
    </row>
    <row r="27" ht="15" customHeight="1" s="120">
      <c r="A27" s="134" t="inlineStr">
        <is>
          <t>Kaba Diop</t>
        </is>
      </c>
    </row>
    <row r="28" ht="15" customHeight="1" s="120">
      <c r="A28" s="134" t="inlineStr">
        <is>
          <t>Kaci Cosper</t>
        </is>
      </c>
    </row>
    <row r="29" ht="15" customHeight="1" s="120">
      <c r="A29" s="134" t="inlineStr">
        <is>
          <t>Khalia Mitchell</t>
        </is>
      </c>
    </row>
    <row r="30" ht="15" customHeight="1" s="120">
      <c r="A30" s="134" t="inlineStr">
        <is>
          <t>Khursheeda Nasreen</t>
        </is>
      </c>
    </row>
    <row r="31" ht="15" customHeight="1" s="120">
      <c r="A31" s="134" t="inlineStr">
        <is>
          <t>Kori Jenkins</t>
        </is>
      </c>
    </row>
    <row r="32" ht="15" customHeight="1" s="120">
      <c r="A32" s="134" t="inlineStr">
        <is>
          <t>Princess Vance</t>
        </is>
      </c>
    </row>
    <row r="33" ht="15" customHeight="1" s="120">
      <c r="A33" s="134" t="inlineStr">
        <is>
          <t>Richard Soro</t>
        </is>
      </c>
    </row>
    <row r="34" ht="15" customHeight="1" s="120">
      <c r="A34" s="134" t="inlineStr">
        <is>
          <t>Rihana Ababulla</t>
        </is>
      </c>
    </row>
    <row r="35" ht="15" customHeight="1" s="120">
      <c r="A35" s="134" t="inlineStr">
        <is>
          <t>Rozita Davis</t>
        </is>
      </c>
    </row>
    <row r="36" ht="15" customHeight="1" s="120">
      <c r="A36" s="134" t="inlineStr">
        <is>
          <t>Tangy Winfrey</t>
        </is>
      </c>
    </row>
    <row r="37" ht="15" customHeight="1" s="120">
      <c r="A37" s="134" t="inlineStr">
        <is>
          <t>Theresa Logan</t>
        </is>
      </c>
    </row>
    <row r="38" ht="15" customHeight="1" s="120">
      <c r="A38" s="134" t="inlineStr">
        <is>
          <t>Timicha Marshall</t>
        </is>
      </c>
    </row>
    <row r="39" ht="15" customHeight="1" s="120">
      <c r="A39" s="134" t="inlineStr">
        <is>
          <t>Veronica Laster</t>
        </is>
      </c>
    </row>
    <row r="40" ht="15" customHeight="1" s="120">
      <c r="A40" s="134" t="inlineStr">
        <is>
          <t>Yitshhaq Sagahon</t>
        </is>
      </c>
    </row>
    <row r="41" ht="15" customHeight="1" s="120">
      <c r="A41" s="134" t="inlineStr">
        <is>
          <t>Youba Coly</t>
        </is>
      </c>
    </row>
    <row r="42" ht="15" customHeight="1" s="120">
      <c r="A42" s="134" t="inlineStr">
        <is>
          <t>Youssouf Traore</t>
        </is>
      </c>
    </row>
    <row r="43" ht="15" customHeight="1" s="120">
      <c r="A43" s="134" t="inlineStr">
        <is>
          <t>Zekiah Robinson</t>
        </is>
      </c>
    </row>
    <row r="44" ht="15" customHeight="1" s="120">
      <c r="A44" s="134" t="inlineStr">
        <is>
          <t>Zinash Shiferaw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2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9375" defaultRowHeight="14.25" zeroHeight="0" outlineLevelRow="0"/>
  <cols>
    <col width="32" customWidth="1" style="119" min="1" max="1"/>
    <col width="17.11" customWidth="1" style="119" min="2" max="3"/>
    <col width="34.33" customWidth="1" style="119" min="4" max="4"/>
    <col width="9.109999999999999" customWidth="1" style="119" min="5" max="16384"/>
  </cols>
  <sheetData>
    <row r="1" ht="15" customHeight="1" s="120">
      <c r="A1" s="219" t="inlineStr">
        <is>
          <t>Employee Name</t>
        </is>
      </c>
      <c r="B1" s="219" t="inlineStr">
        <is>
          <t>Start Date</t>
        </is>
      </c>
      <c r="C1" s="219" t="inlineStr">
        <is>
          <t>End Date</t>
        </is>
      </c>
      <c r="D1" s="219" t="inlineStr">
        <is>
          <t>Reason</t>
        </is>
      </c>
    </row>
    <row r="2" ht="14.25" customHeight="1" s="120">
      <c r="B2" s="220" t="n"/>
      <c r="C2" s="220" t="n"/>
    </row>
    <row r="3" ht="14.25" customHeight="1" s="120">
      <c r="B3" s="220" t="n"/>
      <c r="C3" s="220" t="n"/>
    </row>
    <row r="4" ht="14.25" customHeight="1" s="120">
      <c r="B4" s="220" t="n"/>
      <c r="C4" s="220" t="n"/>
    </row>
    <row r="5" ht="14.25" customHeight="1" s="120">
      <c r="B5" s="220" t="n"/>
      <c r="C5" s="220" t="n"/>
    </row>
    <row r="6" ht="14.25" customHeight="1" s="120">
      <c r="B6" s="220" t="n"/>
      <c r="C6" s="220" t="n"/>
    </row>
    <row r="7" ht="14.25" customHeight="1" s="120">
      <c r="B7" s="220" t="n"/>
      <c r="C7" s="220" t="n"/>
    </row>
    <row r="8" ht="14.25" customHeight="1" s="120">
      <c r="B8" s="220" t="n"/>
      <c r="C8" s="220" t="n"/>
    </row>
    <row r="9" ht="14.25" customHeight="1" s="120">
      <c r="B9" s="220" t="n"/>
      <c r="C9" s="220" t="n"/>
    </row>
    <row r="10" ht="14.25" customHeight="1" s="120">
      <c r="B10" s="220" t="n"/>
      <c r="C10" s="220" t="n"/>
    </row>
    <row r="11" ht="14.25" customHeight="1" s="120">
      <c r="B11" s="220" t="n"/>
      <c r="C11" s="220" t="n"/>
    </row>
    <row r="12" ht="14.25" customHeight="1" s="120">
      <c r="B12" s="220" t="n"/>
      <c r="C12" s="220" t="n"/>
    </row>
    <row r="13" ht="14.25" customHeight="1" s="120">
      <c r="B13" s="220" t="n"/>
      <c r="C13" s="220" t="n"/>
    </row>
    <row r="14" ht="14.25" customHeight="1" s="120">
      <c r="B14" s="220" t="n"/>
      <c r="C14" s="220" t="n"/>
    </row>
    <row r="15" ht="14.25" customHeight="1" s="120">
      <c r="B15" s="220" t="n"/>
      <c r="C15" s="220" t="n"/>
    </row>
    <row r="16" ht="14.25" customHeight="1" s="120">
      <c r="B16" s="220" t="n"/>
      <c r="C16" s="220" t="n"/>
    </row>
    <row r="17" ht="14.25" customHeight="1" s="120">
      <c r="B17" s="220" t="n"/>
      <c r="C17" s="220" t="n"/>
    </row>
    <row r="18" ht="14.25" customHeight="1" s="120">
      <c r="B18" s="220" t="n"/>
      <c r="C18" s="220" t="n"/>
    </row>
    <row r="19" ht="14.25" customHeight="1" s="120">
      <c r="B19" s="220" t="n"/>
      <c r="C19" s="220" t="n"/>
    </row>
    <row r="20" ht="14.25" customHeight="1" s="120">
      <c r="B20" s="220" t="n"/>
      <c r="C20" s="220" t="n"/>
    </row>
    <row r="21" ht="14.25" customHeight="1" s="120">
      <c r="B21" s="220" t="n"/>
      <c r="C21" s="220" t="n"/>
    </row>
    <row r="22" ht="14.25" customHeight="1" s="120">
      <c r="B22" s="220" t="n"/>
      <c r="C22" s="220" t="n"/>
    </row>
    <row r="23" ht="14.25" customHeight="1" s="120">
      <c r="B23" s="220" t="n"/>
      <c r="C23" s="220" t="n"/>
    </row>
    <row r="24" ht="14.25" customHeight="1" s="120">
      <c r="B24" s="220" t="n"/>
      <c r="C24" s="220" t="n"/>
    </row>
    <row r="25" ht="14.25" customHeight="1" s="120">
      <c r="B25" s="220" t="n"/>
      <c r="C25" s="220" t="n"/>
    </row>
    <row r="26" ht="14.25" customHeight="1" s="120">
      <c r="B26" s="220" t="n"/>
      <c r="C26" s="220" t="n"/>
    </row>
    <row r="27" ht="14.25" customHeight="1" s="120">
      <c r="B27" s="220" t="n"/>
      <c r="C27" s="220" t="n"/>
    </row>
    <row r="28" ht="14.25" customHeight="1" s="120">
      <c r="B28" s="220" t="n"/>
      <c r="C28" s="220" t="n"/>
    </row>
    <row r="29" ht="14.25" customHeight="1" s="120">
      <c r="B29" s="220" t="n"/>
      <c r="C29" s="220" t="n"/>
    </row>
    <row r="30" ht="14.25" customHeight="1" s="120">
      <c r="B30" s="220" t="n"/>
      <c r="C30" s="220" t="n"/>
    </row>
    <row r="31" ht="14.25" customHeight="1" s="120">
      <c r="B31" s="220" t="n"/>
      <c r="C31" s="220" t="n"/>
    </row>
    <row r="32" ht="14.25" customHeight="1" s="120">
      <c r="B32" s="220" t="n"/>
      <c r="C32" s="220" t="n"/>
    </row>
    <row r="33" ht="14.25" customHeight="1" s="120">
      <c r="B33" s="220" t="n"/>
      <c r="C33" s="220" t="n"/>
    </row>
    <row r="34" ht="14.25" customHeight="1" s="120">
      <c r="B34" s="220" t="n"/>
      <c r="C34" s="220" t="n"/>
    </row>
    <row r="35" ht="14.25" customHeight="1" s="120">
      <c r="B35" s="220" t="n"/>
      <c r="C35" s="220" t="n"/>
    </row>
    <row r="36" ht="14.25" customHeight="1" s="120">
      <c r="B36" s="220" t="n"/>
      <c r="C36" s="220" t="n"/>
    </row>
    <row r="37" ht="14.25" customHeight="1" s="120">
      <c r="B37" s="220" t="n"/>
      <c r="C37" s="220" t="n"/>
    </row>
    <row r="38" ht="14.25" customHeight="1" s="120">
      <c r="B38" s="220" t="n"/>
      <c r="C38" s="220" t="n"/>
    </row>
    <row r="39" ht="14.25" customHeight="1" s="120">
      <c r="B39" s="220" t="n"/>
      <c r="C39" s="220" t="n"/>
    </row>
    <row r="40" ht="14.25" customHeight="1" s="120">
      <c r="B40" s="220" t="n"/>
      <c r="C40" s="220" t="n"/>
    </row>
    <row r="41" ht="14.25" customHeight="1" s="120">
      <c r="B41" s="220" t="n"/>
      <c r="C41" s="220" t="n"/>
    </row>
    <row r="42" ht="14.25" customHeight="1" s="120">
      <c r="B42" s="220" t="n"/>
      <c r="C42" s="220" t="n"/>
    </row>
    <row r="43" ht="14.25" customHeight="1" s="120">
      <c r="B43" s="220" t="n"/>
      <c r="C43" s="220" t="n"/>
    </row>
    <row r="44" ht="14.25" customHeight="1" s="120">
      <c r="B44" s="220" t="n"/>
      <c r="C44" s="220" t="n"/>
    </row>
    <row r="45" ht="14.25" customHeight="1" s="120">
      <c r="B45" s="220" t="n"/>
      <c r="C45" s="220" t="n"/>
    </row>
    <row r="46" ht="14.25" customHeight="1" s="120">
      <c r="B46" s="220" t="n"/>
      <c r="C46" s="220" t="n"/>
    </row>
    <row r="47" ht="14.25" customHeight="1" s="120">
      <c r="B47" s="220" t="n"/>
      <c r="C47" s="220" t="n"/>
    </row>
    <row r="48" ht="14.25" customHeight="1" s="120">
      <c r="B48" s="220" t="n"/>
      <c r="C48" s="220" t="n"/>
    </row>
    <row r="49" ht="14.25" customHeight="1" s="120">
      <c r="B49" s="220" t="n"/>
      <c r="C49" s="220" t="n"/>
    </row>
    <row r="50" ht="14.25" customHeight="1" s="120">
      <c r="B50" s="220" t="n"/>
      <c r="C50" s="220" t="n"/>
    </row>
    <row r="51" ht="14.25" customHeight="1" s="120">
      <c r="B51" s="220" t="n"/>
      <c r="C51" s="220" t="n"/>
    </row>
    <row r="52" ht="14.25" customHeight="1" s="120">
      <c r="B52" s="220" t="n"/>
      <c r="C52" s="220" t="n"/>
    </row>
    <row r="53" ht="14.25" customHeight="1" s="120">
      <c r="B53" s="220" t="n"/>
      <c r="C53" s="220" t="n"/>
    </row>
    <row r="54" ht="14.25" customHeight="1" s="120">
      <c r="B54" s="220" t="n"/>
      <c r="C54" s="220" t="n"/>
    </row>
    <row r="55" ht="14.25" customHeight="1" s="120">
      <c r="B55" s="220" t="n"/>
      <c r="C55" s="220" t="n"/>
    </row>
    <row r="56" ht="14.25" customHeight="1" s="120">
      <c r="B56" s="220" t="n"/>
      <c r="C56" s="220" t="n"/>
    </row>
    <row r="57" ht="14.25" customHeight="1" s="120">
      <c r="B57" s="220" t="n"/>
      <c r="C57" s="220" t="n"/>
    </row>
    <row r="58" ht="14.25" customHeight="1" s="120">
      <c r="B58" s="220" t="n"/>
      <c r="C58" s="220" t="n"/>
    </row>
    <row r="59" ht="14.25" customHeight="1" s="120">
      <c r="B59" s="220" t="n"/>
      <c r="C59" s="220" t="n"/>
    </row>
    <row r="60" ht="14.25" customHeight="1" s="120">
      <c r="B60" s="220" t="n"/>
      <c r="C60" s="220" t="n"/>
    </row>
    <row r="61" ht="14.25" customHeight="1" s="120">
      <c r="B61" s="220" t="n"/>
      <c r="C61" s="220" t="n"/>
    </row>
    <row r="62" ht="14.25" customHeight="1" s="120">
      <c r="B62" s="220" t="n"/>
      <c r="C62" s="220" t="n"/>
    </row>
    <row r="63" ht="14.25" customHeight="1" s="120">
      <c r="B63" s="220" t="n"/>
      <c r="C63" s="220" t="n"/>
    </row>
    <row r="64" ht="14.25" customHeight="1" s="120">
      <c r="B64" s="220" t="n"/>
      <c r="C64" s="220" t="n"/>
    </row>
    <row r="65" ht="14.25" customHeight="1" s="120">
      <c r="B65" s="220" t="n"/>
      <c r="C65" s="220" t="n"/>
    </row>
    <row r="66" ht="14.25" customHeight="1" s="120">
      <c r="B66" s="220" t="n"/>
      <c r="C66" s="220" t="n"/>
    </row>
    <row r="67" ht="14.25" customHeight="1" s="120">
      <c r="B67" s="220" t="n"/>
      <c r="C67" s="220" t="n"/>
    </row>
    <row r="68" ht="14.25" customHeight="1" s="120">
      <c r="B68" s="220" t="n"/>
      <c r="C68" s="220" t="n"/>
    </row>
    <row r="69" ht="14.25" customHeight="1" s="120">
      <c r="B69" s="220" t="n"/>
      <c r="C69" s="220" t="n"/>
    </row>
    <row r="70" ht="14.25" customHeight="1" s="120">
      <c r="B70" s="220" t="n"/>
      <c r="C70" s="220" t="n"/>
    </row>
    <row r="71" ht="14.25" customHeight="1" s="120">
      <c r="B71" s="220" t="n"/>
      <c r="C71" s="220" t="n"/>
    </row>
    <row r="72" ht="14.25" customHeight="1" s="120">
      <c r="B72" s="220" t="n"/>
      <c r="C72" s="220" t="n"/>
    </row>
    <row r="73" ht="14.25" customHeight="1" s="120">
      <c r="B73" s="220" t="n"/>
      <c r="C73" s="220" t="n"/>
    </row>
    <row r="74" ht="14.25" customHeight="1" s="120">
      <c r="B74" s="220" t="n"/>
      <c r="C74" s="220" t="n"/>
    </row>
    <row r="75" ht="14.25" customHeight="1" s="120">
      <c r="B75" s="220" t="n"/>
      <c r="C75" s="220" t="n"/>
    </row>
    <row r="76" ht="14.25" customHeight="1" s="120">
      <c r="B76" s="220" t="n"/>
      <c r="C76" s="220" t="n"/>
    </row>
    <row r="77" ht="14.25" customHeight="1" s="120">
      <c r="B77" s="220" t="n"/>
      <c r="C77" s="220" t="n"/>
    </row>
    <row r="78" ht="14.25" customHeight="1" s="120">
      <c r="B78" s="220" t="n"/>
      <c r="C78" s="220" t="n"/>
    </row>
    <row r="79" ht="14.25" customHeight="1" s="120">
      <c r="B79" s="220" t="n"/>
      <c r="C79" s="220" t="n"/>
    </row>
    <row r="80" ht="14.25" customHeight="1" s="120">
      <c r="B80" s="220" t="n"/>
      <c r="C80" s="220" t="n"/>
    </row>
    <row r="81" ht="14.25" customHeight="1" s="120">
      <c r="B81" s="220" t="n"/>
      <c r="C81" s="220" t="n"/>
    </row>
    <row r="82" ht="14.25" customHeight="1" s="120">
      <c r="B82" s="220" t="n"/>
      <c r="C82" s="220" t="n"/>
    </row>
    <row r="83" ht="14.25" customHeight="1" s="120">
      <c r="B83" s="220" t="n"/>
      <c r="C83" s="220" t="n"/>
    </row>
    <row r="84" ht="14.25" customHeight="1" s="120">
      <c r="B84" s="220" t="n"/>
      <c r="C84" s="220" t="n"/>
    </row>
    <row r="85" ht="14.25" customHeight="1" s="120">
      <c r="B85" s="220" t="n"/>
      <c r="C85" s="220" t="n"/>
    </row>
    <row r="86" ht="14.25" customHeight="1" s="120">
      <c r="B86" s="220" t="n"/>
      <c r="C86" s="220" t="n"/>
    </row>
    <row r="87" ht="14.25" customHeight="1" s="120">
      <c r="B87" s="220" t="n"/>
      <c r="C87" s="220" t="n"/>
    </row>
    <row r="88" ht="14.25" customHeight="1" s="120">
      <c r="B88" s="220" t="n"/>
      <c r="C88" s="220" t="n"/>
    </row>
    <row r="89" ht="14.25" customHeight="1" s="120">
      <c r="B89" s="220" t="n"/>
      <c r="C89" s="220" t="n"/>
    </row>
    <row r="90" ht="14.25" customHeight="1" s="120">
      <c r="B90" s="220" t="n"/>
      <c r="C90" s="220" t="n"/>
    </row>
    <row r="91" ht="14.25" customHeight="1" s="120">
      <c r="B91" s="220" t="n"/>
      <c r="C91" s="220" t="n"/>
    </row>
    <row r="92" ht="14.25" customHeight="1" s="120">
      <c r="B92" s="220" t="n"/>
      <c r="C92" s="220" t="n"/>
    </row>
    <row r="93" ht="14.25" customHeight="1" s="120">
      <c r="B93" s="220" t="n"/>
      <c r="C93" s="220" t="n"/>
    </row>
    <row r="94" ht="14.25" customHeight="1" s="120">
      <c r="B94" s="220" t="n"/>
      <c r="C94" s="220" t="n"/>
    </row>
    <row r="95" ht="14.25" customHeight="1" s="120">
      <c r="B95" s="220" t="n"/>
      <c r="C95" s="220" t="n"/>
    </row>
    <row r="96" ht="14.25" customHeight="1" s="120">
      <c r="B96" s="220" t="n"/>
      <c r="C96" s="220" t="n"/>
    </row>
    <row r="97" ht="14.25" customHeight="1" s="120">
      <c r="B97" s="220" t="n"/>
      <c r="C97" s="220" t="n"/>
    </row>
    <row r="98" ht="14.25" customHeight="1" s="120">
      <c r="B98" s="220" t="n"/>
      <c r="C98" s="220" t="n"/>
    </row>
    <row r="99" ht="14.25" customHeight="1" s="120">
      <c r="B99" s="220" t="n"/>
      <c r="C99" s="220" t="n"/>
    </row>
    <row r="100" ht="14.25" customHeight="1" s="120">
      <c r="B100" s="220" t="n"/>
      <c r="C100" s="220" t="n"/>
    </row>
    <row r="101" ht="14.25" customHeight="1" s="120">
      <c r="B101" s="220" t="n"/>
      <c r="C101" s="220" t="n"/>
    </row>
    <row r="102" ht="14.25" customHeight="1" s="120">
      <c r="B102" s="220" t="n"/>
      <c r="C102" s="220" t="n"/>
    </row>
    <row r="103" ht="14.25" customHeight="1" s="120">
      <c r="B103" s="220" t="n"/>
      <c r="C103" s="220" t="n"/>
    </row>
    <row r="104" ht="14.25" customHeight="1" s="120">
      <c r="B104" s="220" t="n"/>
      <c r="C104" s="220" t="n"/>
    </row>
    <row r="105" ht="14.25" customHeight="1" s="120">
      <c r="B105" s="220" t="n"/>
      <c r="C105" s="220" t="n"/>
    </row>
    <row r="106" ht="14.25" customHeight="1" s="120">
      <c r="B106" s="220" t="n"/>
      <c r="C106" s="220" t="n"/>
    </row>
    <row r="107" ht="14.25" customHeight="1" s="120">
      <c r="B107" s="220" t="n"/>
      <c r="C107" s="220" t="n"/>
    </row>
    <row r="108" ht="14.25" customHeight="1" s="120">
      <c r="B108" s="220" t="n"/>
      <c r="C108" s="220" t="n"/>
    </row>
    <row r="109" ht="14.25" customHeight="1" s="120">
      <c r="B109" s="220" t="n"/>
      <c r="C109" s="220" t="n"/>
    </row>
    <row r="110" ht="14.25" customHeight="1" s="120">
      <c r="B110" s="220" t="n"/>
      <c r="C110" s="220" t="n"/>
    </row>
    <row r="111" ht="14.25" customHeight="1" s="120">
      <c r="B111" s="220" t="n"/>
      <c r="C111" s="220" t="n"/>
    </row>
    <row r="112" ht="14.25" customHeight="1" s="120">
      <c r="B112" s="220" t="n"/>
      <c r="C112" s="220" t="n"/>
    </row>
    <row r="113" ht="14.25" customHeight="1" s="120">
      <c r="B113" s="220" t="n"/>
      <c r="C113" s="220" t="n"/>
    </row>
    <row r="114" ht="14.25" customHeight="1" s="120">
      <c r="B114" s="220" t="n"/>
      <c r="C114" s="220" t="n"/>
    </row>
    <row r="115" ht="14.25" customHeight="1" s="120">
      <c r="B115" s="220" t="n"/>
      <c r="C115" s="220" t="n"/>
    </row>
    <row r="116" ht="14.25" customHeight="1" s="120">
      <c r="B116" s="220" t="n"/>
      <c r="C116" s="220" t="n"/>
    </row>
    <row r="117" ht="14.25" customHeight="1" s="120">
      <c r="B117" s="220" t="n"/>
      <c r="C117" s="220" t="n"/>
    </row>
    <row r="118" ht="14.25" customHeight="1" s="120">
      <c r="B118" s="220" t="n"/>
      <c r="C118" s="220" t="n"/>
    </row>
    <row r="119" ht="14.25" customHeight="1" s="120">
      <c r="B119" s="220" t="n"/>
      <c r="C119" s="220" t="n"/>
    </row>
    <row r="120" ht="14.25" customHeight="1" s="120">
      <c r="B120" s="220" t="n"/>
      <c r="C120" s="220" t="n"/>
    </row>
    <row r="121" ht="14.25" customHeight="1" s="120">
      <c r="B121" s="220" t="n"/>
      <c r="C121" s="220" t="n"/>
    </row>
    <row r="122" ht="14.25" customHeight="1" s="120">
      <c r="B122" s="220" t="n"/>
      <c r="C122" s="220" t="n"/>
    </row>
    <row r="123" ht="14.25" customHeight="1" s="120">
      <c r="B123" s="220" t="n"/>
      <c r="C123" s="220" t="n"/>
    </row>
    <row r="124" ht="14.25" customHeight="1" s="120">
      <c r="B124" s="220" t="n"/>
      <c r="C124" s="220" t="n"/>
    </row>
    <row r="125" ht="14.25" customHeight="1" s="120">
      <c r="B125" s="220" t="n"/>
      <c r="C125" s="220" t="n"/>
    </row>
    <row r="126" ht="14.25" customHeight="1" s="120">
      <c r="B126" s="220" t="n"/>
      <c r="C126" s="220" t="n"/>
    </row>
    <row r="127" ht="14.25" customHeight="1" s="120">
      <c r="B127" s="220" t="n"/>
      <c r="C127" s="220" t="n"/>
    </row>
    <row r="128" ht="14.25" customHeight="1" s="120">
      <c r="B128" s="220" t="n"/>
      <c r="C128" s="220" t="n"/>
    </row>
    <row r="129" ht="14.25" customHeight="1" s="120">
      <c r="B129" s="220" t="n"/>
      <c r="C129" s="220" t="n"/>
    </row>
    <row r="130" ht="14.25" customHeight="1" s="120">
      <c r="B130" s="220" t="n"/>
      <c r="C130" s="220" t="n"/>
    </row>
    <row r="131" ht="14.25" customHeight="1" s="120">
      <c r="B131" s="220" t="n"/>
      <c r="C131" s="220" t="n"/>
    </row>
    <row r="132" ht="14.25" customHeight="1" s="120">
      <c r="B132" s="220" t="n"/>
      <c r="C132" s="220" t="n"/>
    </row>
    <row r="133" ht="14.25" customHeight="1" s="120">
      <c r="B133" s="220" t="n"/>
      <c r="C133" s="220" t="n"/>
    </row>
    <row r="134" ht="14.25" customHeight="1" s="120">
      <c r="B134" s="220" t="n"/>
      <c r="C134" s="220" t="n"/>
    </row>
    <row r="135" ht="14.25" customHeight="1" s="120">
      <c r="B135" s="220" t="n"/>
      <c r="C135" s="220" t="n"/>
    </row>
    <row r="136" ht="14.25" customHeight="1" s="120">
      <c r="B136" s="220" t="n"/>
      <c r="C136" s="220" t="n"/>
    </row>
    <row r="137" ht="14.25" customHeight="1" s="120">
      <c r="B137" s="220" t="n"/>
      <c r="C137" s="220" t="n"/>
    </row>
    <row r="138" ht="14.25" customHeight="1" s="120">
      <c r="B138" s="220" t="n"/>
      <c r="C138" s="220" t="n"/>
    </row>
    <row r="139" ht="14.25" customHeight="1" s="120">
      <c r="B139" s="220" t="n"/>
      <c r="C139" s="220" t="n"/>
    </row>
    <row r="140" ht="14.25" customHeight="1" s="120">
      <c r="B140" s="220" t="n"/>
      <c r="C140" s="220" t="n"/>
    </row>
    <row r="141" ht="14.25" customHeight="1" s="120">
      <c r="B141" s="220" t="n"/>
      <c r="C141" s="220" t="n"/>
    </row>
    <row r="142" ht="14.25" customHeight="1" s="120">
      <c r="B142" s="220" t="n"/>
      <c r="C142" s="220" t="n"/>
    </row>
    <row r="143" ht="14.25" customHeight="1" s="120">
      <c r="B143" s="220" t="n"/>
      <c r="C143" s="220" t="n"/>
    </row>
    <row r="144" ht="14.25" customHeight="1" s="120">
      <c r="B144" s="220" t="n"/>
      <c r="C144" s="220" t="n"/>
    </row>
    <row r="145" ht="14.25" customHeight="1" s="120">
      <c r="B145" s="220" t="n"/>
      <c r="C145" s="220" t="n"/>
    </row>
    <row r="146" ht="14.25" customHeight="1" s="120">
      <c r="B146" s="220" t="n"/>
      <c r="C146" s="220" t="n"/>
    </row>
    <row r="147" ht="14.25" customHeight="1" s="120">
      <c r="B147" s="220" t="n"/>
      <c r="C147" s="220" t="n"/>
    </row>
    <row r="148" ht="14.25" customHeight="1" s="120">
      <c r="B148" s="220" t="n"/>
      <c r="C148" s="220" t="n"/>
    </row>
    <row r="149" ht="14.25" customHeight="1" s="120">
      <c r="B149" s="220" t="n"/>
      <c r="C149" s="220" t="n"/>
    </row>
    <row r="150" ht="14.25" customHeight="1" s="120">
      <c r="B150" s="220" t="n"/>
      <c r="C150" s="220" t="n"/>
    </row>
    <row r="151" ht="14.25" customHeight="1" s="120">
      <c r="B151" s="220" t="n"/>
      <c r="C151" s="220" t="n"/>
    </row>
    <row r="152" ht="14.25" customHeight="1" s="120">
      <c r="B152" s="220" t="n"/>
      <c r="C152" s="220" t="n"/>
    </row>
    <row r="153" ht="14.25" customHeight="1" s="120">
      <c r="B153" s="220" t="n"/>
      <c r="C153" s="220" t="n"/>
    </row>
    <row r="154" ht="14.25" customHeight="1" s="120">
      <c r="B154" s="220" t="n"/>
      <c r="C154" s="220" t="n"/>
    </row>
    <row r="155" ht="14.25" customHeight="1" s="120">
      <c r="B155" s="220" t="n"/>
      <c r="C155" s="220" t="n"/>
    </row>
    <row r="156" ht="14.25" customHeight="1" s="120">
      <c r="B156" s="220" t="n"/>
      <c r="C156" s="220" t="n"/>
    </row>
    <row r="157" ht="14.25" customHeight="1" s="120">
      <c r="B157" s="220" t="n"/>
      <c r="C157" s="220" t="n"/>
    </row>
    <row r="158" ht="14.25" customHeight="1" s="120">
      <c r="B158" s="220" t="n"/>
      <c r="C158" s="220" t="n"/>
    </row>
    <row r="159" ht="14.25" customHeight="1" s="120">
      <c r="B159" s="220" t="n"/>
      <c r="C159" s="220" t="n"/>
    </row>
    <row r="160" ht="14.25" customHeight="1" s="120">
      <c r="B160" s="220" t="n"/>
      <c r="C160" s="220" t="n"/>
    </row>
    <row r="161" ht="14.25" customHeight="1" s="120">
      <c r="B161" s="220" t="n"/>
      <c r="C161" s="220" t="n"/>
    </row>
    <row r="162" ht="14.25" customHeight="1" s="120">
      <c r="B162" s="220" t="n"/>
      <c r="C162" s="220" t="n"/>
    </row>
    <row r="163" ht="14.25" customHeight="1" s="120">
      <c r="B163" s="220" t="n"/>
      <c r="C163" s="220" t="n"/>
    </row>
    <row r="164" ht="14.25" customHeight="1" s="120">
      <c r="B164" s="220" t="n"/>
      <c r="C164" s="220" t="n"/>
    </row>
    <row r="165" ht="14.25" customHeight="1" s="120">
      <c r="B165" s="220" t="n"/>
      <c r="C165" s="220" t="n"/>
    </row>
    <row r="166" ht="14.25" customHeight="1" s="120">
      <c r="B166" s="220" t="n"/>
      <c r="C166" s="220" t="n"/>
    </row>
    <row r="167" ht="14.25" customHeight="1" s="120">
      <c r="B167" s="220" t="n"/>
      <c r="C167" s="220" t="n"/>
    </row>
    <row r="168" ht="14.25" customHeight="1" s="120">
      <c r="B168" s="220" t="n"/>
      <c r="C168" s="220" t="n"/>
    </row>
    <row r="169" ht="14.25" customHeight="1" s="120">
      <c r="B169" s="220" t="n"/>
      <c r="C169" s="220" t="n"/>
    </row>
    <row r="170" ht="14.25" customHeight="1" s="120">
      <c r="B170" s="220" t="n"/>
      <c r="C170" s="220" t="n"/>
    </row>
    <row r="171" ht="14.25" customHeight="1" s="120">
      <c r="B171" s="220" t="n"/>
      <c r="C171" s="220" t="n"/>
    </row>
    <row r="172" ht="14.25" customHeight="1" s="120">
      <c r="B172" s="220" t="n"/>
      <c r="C172" s="220" t="n"/>
    </row>
    <row r="173" ht="14.25" customHeight="1" s="120">
      <c r="B173" s="220" t="n"/>
      <c r="C173" s="220" t="n"/>
    </row>
    <row r="174" ht="14.25" customHeight="1" s="120">
      <c r="B174" s="220" t="n"/>
      <c r="C174" s="220" t="n"/>
    </row>
    <row r="175" ht="14.25" customHeight="1" s="120">
      <c r="B175" s="220" t="n"/>
      <c r="C175" s="220" t="n"/>
    </row>
    <row r="176" ht="14.25" customHeight="1" s="120">
      <c r="B176" s="220" t="n"/>
      <c r="C176" s="220" t="n"/>
    </row>
    <row r="177" ht="14.25" customHeight="1" s="120">
      <c r="B177" s="220" t="n"/>
      <c r="C177" s="220" t="n"/>
    </row>
    <row r="178" ht="14.25" customHeight="1" s="120">
      <c r="B178" s="220" t="n"/>
      <c r="C178" s="220" t="n"/>
    </row>
    <row r="179" ht="14.25" customHeight="1" s="120">
      <c r="B179" s="220" t="n"/>
      <c r="C179" s="220" t="n"/>
    </row>
    <row r="180" ht="14.25" customHeight="1" s="120">
      <c r="B180" s="220" t="n"/>
      <c r="C180" s="220" t="n"/>
    </row>
    <row r="181" ht="14.25" customHeight="1" s="120">
      <c r="B181" s="220" t="n"/>
      <c r="C181" s="220" t="n"/>
    </row>
    <row r="182" ht="14.25" customHeight="1" s="120">
      <c r="B182" s="220" t="n"/>
      <c r="C182" s="220" t="n"/>
    </row>
    <row r="183" ht="14.25" customHeight="1" s="120">
      <c r="B183" s="220" t="n"/>
      <c r="C183" s="220" t="n"/>
    </row>
    <row r="184" ht="14.25" customHeight="1" s="120">
      <c r="B184" s="220" t="n"/>
      <c r="C184" s="220" t="n"/>
    </row>
    <row r="185" ht="14.25" customHeight="1" s="120">
      <c r="B185" s="220" t="n"/>
      <c r="C185" s="220" t="n"/>
    </row>
    <row r="186" ht="14.25" customHeight="1" s="120">
      <c r="B186" s="220" t="n"/>
      <c r="C186" s="220" t="n"/>
    </row>
    <row r="187" ht="14.25" customHeight="1" s="120">
      <c r="B187" s="220" t="n"/>
      <c r="C187" s="220" t="n"/>
    </row>
    <row r="188" ht="14.25" customHeight="1" s="120">
      <c r="B188" s="220" t="n"/>
      <c r="C188" s="220" t="n"/>
    </row>
    <row r="189" ht="14.25" customHeight="1" s="120">
      <c r="B189" s="220" t="n"/>
      <c r="C189" s="220" t="n"/>
    </row>
    <row r="190" ht="14.25" customHeight="1" s="120">
      <c r="B190" s="220" t="n"/>
      <c r="C190" s="220" t="n"/>
    </row>
    <row r="191" ht="14.25" customHeight="1" s="120">
      <c r="B191" s="220" t="n"/>
      <c r="C191" s="220" t="n"/>
    </row>
    <row r="192" ht="14.25" customHeight="1" s="120">
      <c r="B192" s="220" t="n"/>
      <c r="C192" s="220" t="n"/>
    </row>
    <row r="193" ht="14.25" customHeight="1" s="120">
      <c r="B193" s="220" t="n"/>
      <c r="C193" s="220" t="n"/>
    </row>
    <row r="194" ht="14.25" customHeight="1" s="120">
      <c r="B194" s="220" t="n"/>
      <c r="C194" s="220" t="n"/>
    </row>
    <row r="195" ht="14.25" customHeight="1" s="120">
      <c r="B195" s="220" t="n"/>
      <c r="C195" s="220" t="n"/>
    </row>
    <row r="196" ht="14.25" customHeight="1" s="120">
      <c r="B196" s="220" t="n"/>
      <c r="C196" s="220" t="n"/>
    </row>
    <row r="197" ht="14.25" customHeight="1" s="120">
      <c r="B197" s="220" t="n"/>
      <c r="C197" s="220" t="n"/>
    </row>
    <row r="198" ht="14.25" customHeight="1" s="120">
      <c r="B198" s="220" t="n"/>
      <c r="C198" s="220" t="n"/>
    </row>
    <row r="199" ht="14.25" customHeight="1" s="120">
      <c r="B199" s="220" t="n"/>
      <c r="C199" s="220" t="n"/>
    </row>
    <row r="200" ht="14.25" customHeight="1" s="120">
      <c r="B200" s="220" t="n"/>
      <c r="C200" s="22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P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9375" defaultRowHeight="14.25" zeroHeight="0" outlineLevelRow="0"/>
  <cols>
    <col width="13.88" customWidth="1" style="119" min="1" max="1"/>
    <col width="17.67" customWidth="1" style="119" min="2" max="2"/>
    <col width="7.67" customWidth="1" style="119" min="3" max="3"/>
    <col width="18.88" customWidth="1" style="119" min="4" max="4"/>
    <col width="6" customWidth="1" style="119" min="5" max="5"/>
    <col width="8" customWidth="1" style="119" min="6" max="6"/>
    <col width="7.44" customWidth="1" style="119" min="7" max="7"/>
    <col width="18.34" customWidth="1" style="119" min="8" max="8"/>
    <col width="18.11" customWidth="1" style="119" min="9" max="9"/>
    <col width="12.33" customWidth="1" style="119" min="10" max="10"/>
    <col width="8.34" customWidth="1" style="119" min="11" max="11"/>
    <col width="7.44" customWidth="1" style="119" min="12" max="12"/>
    <col width="18.34" customWidth="1" style="119" min="13" max="13"/>
    <col width="24.88" customWidth="1" style="119" min="14" max="14"/>
    <col width="32" customWidth="1" style="119" min="15" max="16"/>
    <col hidden="1" width="18.34" customWidth="1" style="119" min="17" max="17"/>
    <col hidden="1" width="32" customWidth="1" style="119" min="18" max="19"/>
    <col hidden="1" width="18.34" customWidth="1" style="119" min="20" max="20"/>
    <col hidden="1" width="20.56" customWidth="1" style="119" min="21" max="23"/>
    <col width="16" customWidth="1" style="119" min="24" max="24"/>
    <col width="18.34" customWidth="1" style="119" min="25" max="25"/>
    <col width="16" customWidth="1" style="119" min="26" max="26"/>
    <col width="32" customWidth="1" style="119" min="27" max="27"/>
    <col width="22.88" customWidth="1" style="119" min="28" max="28"/>
    <col width="21.88" customWidth="1" style="119" min="29" max="29"/>
    <col width="13" customWidth="1" style="119" min="30" max="30"/>
    <col width="9.109999999999999" customWidth="1" style="119" min="31" max="16384"/>
  </cols>
  <sheetData>
    <row r="1" ht="27" customHeight="1" s="120">
      <c r="A1" s="221" t="inlineStr">
        <is>
          <t>Employee ID</t>
        </is>
      </c>
      <c r="B1" s="221" t="inlineStr">
        <is>
          <t>Employee Name</t>
        </is>
      </c>
      <c r="C1" s="221" t="inlineStr">
        <is>
          <t>Shift</t>
        </is>
      </c>
      <c r="D1" s="221" t="inlineStr">
        <is>
          <t>Days Off</t>
        </is>
      </c>
      <c r="E1" s="221" t="inlineStr">
        <is>
          <t>Lead</t>
        </is>
      </c>
      <c r="F1" s="221" t="inlineStr">
        <is>
          <t>Mentor</t>
        </is>
      </c>
      <c r="G1" s="221" t="inlineStr">
        <is>
          <t>Active</t>
        </is>
      </c>
      <c r="H1" s="221" t="inlineStr">
        <is>
          <t>Lunch Preference</t>
        </is>
      </c>
      <c r="I1" s="221" t="inlineStr">
        <is>
          <t>Information Desk</t>
        </is>
      </c>
      <c r="J1" s="221" t="inlineStr">
        <is>
          <t>Main Inside</t>
        </is>
      </c>
      <c r="K1" s="221" t="inlineStr">
        <is>
          <t>Survey</t>
        </is>
      </c>
      <c r="L1" s="221" t="inlineStr">
        <is>
          <t>Divest</t>
        </is>
      </c>
      <c r="M1" s="221" t="inlineStr">
        <is>
          <t>Assignment Rule</t>
        </is>
      </c>
      <c r="N1" s="221" t="inlineStr">
        <is>
          <t>Fixed All-Shift Position</t>
        </is>
      </c>
      <c r="O1" s="221" t="inlineStr">
        <is>
          <t>Day-Specific Restrictions</t>
        </is>
      </c>
      <c r="P1" s="221" t="inlineStr">
        <is>
          <t>Trainee Y/N</t>
        </is>
      </c>
      <c r="Q1" s="221" t="inlineStr">
        <is>
          <t>Assigned Mentor</t>
        </is>
      </c>
      <c r="R1" s="221" t="inlineStr">
        <is>
          <t>3:45 Opening Position</t>
        </is>
      </c>
      <c r="S1" s="221" t="inlineStr">
        <is>
          <t>After 5:45 Position</t>
        </is>
      </c>
      <c r="T1" s="221" t="inlineStr">
        <is>
          <t>Mobility Restriction Y/N</t>
        </is>
      </c>
      <c r="U1" s="222" t="inlineStr">
        <is>
          <t>Scheduled Today?</t>
        </is>
      </c>
      <c r="V1" s="222" t="inlineStr">
        <is>
          <t>AM Regular Pool?</t>
        </is>
      </c>
      <c r="W1" s="222" t="inlineStr">
        <is>
          <t>PM Regular Pool?</t>
        </is>
      </c>
      <c r="X1" s="223" t="inlineStr">
        <is>
          <t>Training Start Date</t>
        </is>
      </c>
      <c r="Y1" s="223" t="inlineStr">
        <is>
          <t>Completion Approved?</t>
        </is>
      </c>
      <c r="Z1" s="223" t="inlineStr">
        <is>
          <t>Completion Date</t>
        </is>
      </c>
      <c r="AA1" s="223" t="inlineStr">
        <is>
          <t>Training Notes</t>
        </is>
      </c>
      <c r="AB1" s="223" t="inlineStr">
        <is>
          <t>Training Status</t>
        </is>
      </c>
      <c r="AC1" s="119" t="inlineStr">
        <is>
          <t>v3 Approved Absence?</t>
        </is>
      </c>
      <c r="AD1" s="119" t="inlineStr">
        <is>
          <t>v3 Available?</t>
        </is>
      </c>
      <c r="AE1" s="167" t="inlineStr">
        <is>
          <t>Rank_AM345_Gen</t>
        </is>
      </c>
      <c r="AF1" s="167" t="inlineStr">
        <is>
          <t>Rank_AM545_Gen</t>
        </is>
      </c>
      <c r="AG1" s="167" t="inlineStr">
        <is>
          <t>Rank_Div345</t>
        </is>
      </c>
      <c r="AH1" s="167" t="inlineStr">
        <is>
          <t>Rank_Div545</t>
        </is>
      </c>
      <c r="AI1" s="167" t="inlineStr">
        <is>
          <t>Rank_Survey_AM</t>
        </is>
      </c>
      <c r="AJ1" s="167" t="inlineStr">
        <is>
          <t>Rank_Main345</t>
        </is>
      </c>
      <c r="AK1" s="167" t="inlineStr">
        <is>
          <t>Rank_Info_AM</t>
        </is>
      </c>
      <c r="AL1" s="167" t="inlineStr">
        <is>
          <t>Rank_PM1215</t>
        </is>
      </c>
      <c r="AM1" s="167" t="inlineStr">
        <is>
          <t>Rank_PM200</t>
        </is>
      </c>
      <c r="AN1" s="167" t="inlineStr">
        <is>
          <t>Rank_Survey_PM</t>
        </is>
      </c>
      <c r="AO1" s="167" t="inlineStr">
        <is>
          <t>Rank_DivPM1215</t>
        </is>
      </c>
      <c r="AP1" s="167" t="inlineStr">
        <is>
          <t>Rank_DivPM200</t>
        </is>
      </c>
    </row>
    <row r="2" ht="14.25" customHeight="1" s="120">
      <c r="A2" s="224" t="inlineStr">
        <is>
          <t>EMP-0001</t>
        </is>
      </c>
      <c r="B2" s="225" t="inlineStr">
        <is>
          <t>Aaliyah Snider</t>
        </is>
      </c>
      <c r="C2" s="225" t="inlineStr">
        <is>
          <t>2:00 PM</t>
        </is>
      </c>
      <c r="D2" s="225" t="inlineStr">
        <is>
          <t>Wed, Thu</t>
        </is>
      </c>
      <c r="E2" s="225" t="inlineStr">
        <is>
          <t>N</t>
        </is>
      </c>
      <c r="F2" s="225" t="inlineStr">
        <is>
          <t>N</t>
        </is>
      </c>
      <c r="G2" s="225" t="inlineStr">
        <is>
          <t>Y</t>
        </is>
      </c>
      <c r="H2" s="225" t="inlineStr">
        <is>
          <t>None</t>
        </is>
      </c>
      <c r="I2" s="225" t="inlineStr">
        <is>
          <t>Y</t>
        </is>
      </c>
      <c r="J2" s="225" t="inlineStr">
        <is>
          <t>Y</t>
        </is>
      </c>
      <c r="K2" s="225" t="inlineStr">
        <is>
          <t>N</t>
        </is>
      </c>
      <c r="L2" s="225" t="inlineStr">
        <is>
          <t>Y</t>
        </is>
      </c>
      <c r="M2" s="225" t="inlineStr">
        <is>
          <t>Standard</t>
        </is>
      </c>
      <c r="N2" s="225" t="n"/>
      <c r="O2" s="225" t="n"/>
      <c r="P2" s="225" t="inlineStr">
        <is>
          <t>N</t>
        </is>
      </c>
      <c r="Q2" s="225" t="n"/>
      <c r="R2" s="225" t="n"/>
      <c r="S2" s="225" t="n"/>
      <c r="T2" s="226" t="inlineStr">
        <is>
          <t>N</t>
        </is>
      </c>
      <c r="U2" s="227">
        <f>IF($B2="","",IF(AND($G2="Y",ISERROR(SEARCH(TEXT('Control Center'!$B$3,"ddd"),TRIM($D2)))),"Y","N"))</f>
        <v/>
      </c>
      <c r="V2" s="227">
        <f>IF($B2="","",IF(AND($U2="Y",OR($C2="3:45 AM",$C2="5:45 AM"),OR('Control Center'!$B$4="N",$K2&lt;&gt;"Y")),"Y","N"))</f>
        <v/>
      </c>
      <c r="W2" s="227">
        <f>IF($B2="","",IF(AND($U2="Y",OR($C2="12:15 PM",$C2="2:00 PM"),OR('Control Center'!$B$5="N",$K2&lt;&gt;"Y")),"Y","N"))</f>
        <v/>
      </c>
      <c r="X2" s="228" t="n"/>
      <c r="Y2" s="229" t="n"/>
      <c r="Z2" s="228" t="n"/>
      <c r="AA2" s="229" t="n"/>
      <c r="AB2" s="230">
        <f>IF($B2="","",IF($P2="Y",IF($Y2="Y","Completed","In Progress"),""))</f>
        <v/>
      </c>
      <c r="AC2" s="119">
        <f>IF($B2="","",IF(COUNTIFS('Approved Absences'!$A$2:$A$200,$B2,'Approved Absences'!$B$2:$B$200,"&lt;="&amp;INT('Control Center'!$B$3),'Approved Absences'!$C$2:$C$200,"&gt;="&amp;INT('Control Center'!$B$3))&gt;0,"Y","N"))</f>
        <v/>
      </c>
      <c r="AD2" s="119">
        <f>IF($B2="","",IF(AND($G2="Y",$AC2&lt;&gt;"Y",ISERROR(SEARCH(TEXT('Control Center'!$B$3,"ddd"),TRIM($D2)))),"Y","N"))</f>
        <v/>
      </c>
      <c r="AE2" s="119">
        <f>IF(AND(AD2="Y",C2="3:45 AM",E2="N",K2&lt;&gt;"Y"),COUNTIFS($AD$2:AD2,"Y",$C$2:C2,"3:45 AM",$E$2:E2,"N",$K$2:K2,"&lt;&gt;Y"),"")</f>
        <v/>
      </c>
      <c r="AF2" s="119">
        <f>IF(AND(AD2="Y",C2="5:45 AM",E2="N",K2&lt;&gt;"Y"),COUNTIFS($AD$2:AD2,"Y",$C$2:C2,"5:45 AM",$E$2:E2,"N",$K$2:K2,"&lt;&gt;Y"),"")</f>
        <v/>
      </c>
      <c r="AG2" s="119">
        <f>IF(AND(AD2="Y",C2="3:45 AM",E2="N",L2="Y",K2&lt;&gt;"Y"),COUNTIFS($AD$2:AD2,"Y",$C$2:C2,"3:45 AM",$E$2:E2,"N",$L$2:L2,"Y",$K$2:K2,"&lt;&gt;Y"),"")</f>
        <v/>
      </c>
      <c r="AH2" s="119">
        <f>IF(AND(AD2="Y",C2="5:45 AM",E2="N",L2="Y",K2&lt;&gt;"Y"),COUNTIFS($AD$2:AD2,"Y",$C$2:C2,"5:45 AM",$E$2:E2,"N",$L$2:L2,"Y",$K$2:K2,"&lt;&gt;Y"),"")</f>
        <v/>
      </c>
      <c r="AI2" s="119">
        <f>IF(AND(AD2="Y",E2="N",K2="Y",OR(C2="3:45 AM",C2="5:45 AM")),SUMPRODUCT(($AD$2:AD2="Y")*($E$2:E2="N")*($K$2:K2="Y")*(($C$2:C2="3:45 AM")+($C$2:C2="5:45 AM"))), "")</f>
        <v/>
      </c>
      <c r="AJ2" s="119">
        <f>IF(AND(AD2="Y",C2="3:45 AM",E2="N",J2="Y"),COUNTIFS($AD$2:AD2,"Y",$C$2:C2,"3:45 AM",$E$2:E2,"N",$J$2:J2,"Y"),"")</f>
        <v/>
      </c>
      <c r="AK2" s="119">
        <f>IF(AND(AD2="Y",E2="N",I2="Y",OR(C2="3:45 AM",C2="5:45 AM")),SUMPRODUCT(($AD$2:AD2="Y")*($E$2:E2="N")*($I$2:I2="Y")*(($C$2:C2="3:45 AM")+($C$2:C2="5:45 AM"))), "")</f>
        <v/>
      </c>
      <c r="AL2" s="119">
        <f>IF(AND(AD2="Y",C2="12:15 PM",E2="N",K2&lt;&gt;"Y"),COUNTIFS($AD$2:AD2,"Y",$C$2:C2,"12:15 PM",$E$2:E2,"N",$K$2:K2,"&lt;&gt;Y"),"")</f>
        <v/>
      </c>
      <c r="AM2" s="119">
        <f>IF(AND(AD2="Y",C2="2:00 PM",E2="N",K2&lt;&gt;"Y"),COUNTIFS($AD$2:AD2,"Y",$C$2:C2,"2:00 PM",$E$2:E2,"N",$K$2:K2,"&lt;&gt;Y"),"")</f>
        <v/>
      </c>
      <c r="AN2" s="119">
        <f>IF(AND(AD2="Y",E2="N",K2="Y",OR(C2="12:15 PM",C2="2:00 PM")),SUMPRODUCT(($AD$2:AD2="Y")*($E$2:E2="N")*($K$2:K2="Y")*(($C$2:C2="12:15 PM")+($C$2:C2="2:00 PM"))), "")</f>
        <v/>
      </c>
      <c r="AO2" s="119">
        <f>IF(AND(AD2="Y",C2="12:15 PM",E2="N",L2="Y"),COUNTIFS($AD$2:AD2,"Y",$C$2:C2,"12:15 PM",$E$2:E2,"N",$L$2:L2,"Y"),"")</f>
        <v/>
      </c>
      <c r="AP2" s="119">
        <f>IF(AND(AD2="Y",C2="2:00 PM",E2="N",L2="Y"),COUNTIFS($AD$2:AD2,"Y",$C$2:C2,"2:00 PM",$E$2:E2,"N",$L$2:L2,"Y"),"")</f>
        <v/>
      </c>
    </row>
    <row r="3" ht="14.25" customHeight="1" s="120">
      <c r="A3" s="231" t="inlineStr">
        <is>
          <t>EMP-0002</t>
        </is>
      </c>
      <c r="B3" s="232" t="inlineStr">
        <is>
          <t>Abdou Mballo</t>
        </is>
      </c>
      <c r="C3" s="232" t="inlineStr">
        <is>
          <t>5:45 AM</t>
        </is>
      </c>
      <c r="D3" s="232" t="inlineStr">
        <is>
          <t>Mon, Tue, Wed, Thu, Fri</t>
        </is>
      </c>
      <c r="E3" s="232" t="inlineStr">
        <is>
          <t>N</t>
        </is>
      </c>
      <c r="F3" s="232" t="inlineStr">
        <is>
          <t>N</t>
        </is>
      </c>
      <c r="G3" s="232" t="inlineStr">
        <is>
          <t>Y</t>
        </is>
      </c>
      <c r="H3" s="232" t="inlineStr">
        <is>
          <t>None</t>
        </is>
      </c>
      <c r="I3" s="232" t="inlineStr">
        <is>
          <t>N</t>
        </is>
      </c>
      <c r="J3" s="232" t="inlineStr">
        <is>
          <t>Y</t>
        </is>
      </c>
      <c r="K3" s="232" t="inlineStr">
        <is>
          <t>N</t>
        </is>
      </c>
      <c r="L3" s="232" t="inlineStr">
        <is>
          <t>Y</t>
        </is>
      </c>
      <c r="M3" s="232" t="inlineStr">
        <is>
          <t>Fixed All Shift</t>
        </is>
      </c>
      <c r="N3" s="232" t="inlineStr">
        <is>
          <t>14 | Checkpoint – Inside</t>
        </is>
      </c>
      <c r="O3" s="232" t="n"/>
      <c r="P3" s="232" t="inlineStr">
        <is>
          <t>N</t>
        </is>
      </c>
      <c r="Q3" s="232" t="n"/>
      <c r="R3" s="232" t="n"/>
      <c r="S3" s="232" t="n"/>
      <c r="T3" s="233" t="inlineStr">
        <is>
          <t>N</t>
        </is>
      </c>
      <c r="U3" s="227">
        <f>IF($B3="","",IF(AND($G3="Y",ISERROR(SEARCH(TEXT('Control Center'!$B$3,"ddd"),TRIM($D3)))),"Y","N"))</f>
        <v/>
      </c>
      <c r="V3" s="227">
        <f>IF($B3="","",IF(AND($U3="Y",OR($C3="3:45 AM",$C3="5:45 AM"),OR('Control Center'!$B$4="N",$K3&lt;&gt;"Y")),"Y","N"))</f>
        <v/>
      </c>
      <c r="W3" s="227">
        <f>IF($B3="","",IF(AND($U3="Y",OR($C3="12:15 PM",$C3="2:00 PM"),OR('Control Center'!$B$5="N",$K3&lt;&gt;"Y")),"Y","N"))</f>
        <v/>
      </c>
      <c r="X3" s="228" t="n"/>
      <c r="Y3" s="229" t="n"/>
      <c r="Z3" s="228" t="n"/>
      <c r="AA3" s="229" t="n"/>
      <c r="AB3" s="230">
        <f>IF($B3="","",IF($P3="Y",IF($Y3="Y","Completed","In Progress"),""))</f>
        <v/>
      </c>
      <c r="AC3" s="119">
        <f>IF($B3="","",IF(COUNTIFS('Approved Absences'!$A$2:$A$200,$B3,'Approved Absences'!$B$2:$B$200,"&lt;="&amp;INT('Control Center'!$B$3),'Approved Absences'!$C$2:$C$200,"&gt;="&amp;INT('Control Center'!$B$3))&gt;0,"Y","N"))</f>
        <v/>
      </c>
      <c r="AD3" s="119">
        <f>IF($B3="","",IF(AND($G3="Y",$AC3&lt;&gt;"Y",ISERROR(SEARCH(TEXT('Control Center'!$B$3,"ddd"),TRIM($D3)))),"Y","N"))</f>
        <v/>
      </c>
      <c r="AE3" s="119">
        <f>IF(AND(AD3="Y",C3="3:45 AM",E3="N",K3&lt;&gt;"Y"),COUNTIFS($AD$2:AD3,"Y",$C$2:C3,"3:45 AM",$E$2:E3,"N",$K$2:K3,"&lt;&gt;Y"),"")</f>
        <v/>
      </c>
      <c r="AF3" s="119">
        <f>IF(AND(AD3="Y",C3="5:45 AM",E3="N",K3&lt;&gt;"Y"),COUNTIFS($AD$2:AD3,"Y",$C$2:C3,"5:45 AM",$E$2:E3,"N",$K$2:K3,"&lt;&gt;Y"),"")</f>
        <v/>
      </c>
      <c r="AG3" s="119">
        <f>IF(AND(AD3="Y",C3="3:45 AM",E3="N",L3="Y",K3&lt;&gt;"Y"),COUNTIFS($AD$2:AD3,"Y",$C$2:C3,"3:45 AM",$E$2:E3,"N",$L$2:L3,"Y",$K$2:K3,"&lt;&gt;Y"),"")</f>
        <v/>
      </c>
      <c r="AH3" s="119">
        <f>IF(AND(AD3="Y",C3="5:45 AM",E3="N",L3="Y",K3&lt;&gt;"Y"),COUNTIFS($AD$2:AD3,"Y",$C$2:C3,"5:45 AM",$E$2:E3,"N",$L$2:L3,"Y",$K$2:K3,"&lt;&gt;Y"),"")</f>
        <v/>
      </c>
      <c r="AI3" s="119">
        <f>IF(AND(AD3="Y",E3="N",K3="Y",OR(C3="3:45 AM",C3="5:45 AM")),SUMPRODUCT(($AD$2:AD3="Y")*($E$2:E3="N")*($K$2:K3="Y")*(($C$2:C3="3:45 AM")+($C$2:C3="5:45 AM"))), "")</f>
        <v/>
      </c>
      <c r="AJ3" s="119">
        <f>IF(AND(AD3="Y",C3="3:45 AM",E3="N",J3="Y"),COUNTIFS($AD$2:AD3,"Y",$C$2:C3,"3:45 AM",$E$2:E3,"N",$J$2:J3,"Y"),"")</f>
        <v/>
      </c>
      <c r="AK3" s="119">
        <f>IF(AND(AD3="Y",E3="N",I3="Y",OR(C3="3:45 AM",C3="5:45 AM")),SUMPRODUCT(($AD$2:AD3="Y")*($E$2:E3="N")*($I$2:I3="Y")*(($C$2:C3="3:45 AM")+($C$2:C3="5:45 AM"))), "")</f>
        <v/>
      </c>
      <c r="AL3" s="119">
        <f>IF(AND(AD3="Y",C3="12:15 PM",E3="N",K3&lt;&gt;"Y"),COUNTIFS($AD$2:AD3,"Y",$C$2:C3,"12:15 PM",$E$2:E3,"N",$K$2:K3,"&lt;&gt;Y"),"")</f>
        <v/>
      </c>
      <c r="AM3" s="119">
        <f>IF(AND(AD3="Y",C3="2:00 PM",E3="N",K3&lt;&gt;"Y"),COUNTIFS($AD$2:AD3,"Y",$C$2:C3,"2:00 PM",$E$2:E3,"N",$K$2:K3,"&lt;&gt;Y"),"")</f>
        <v/>
      </c>
      <c r="AN3" s="119">
        <f>IF(AND(AD3="Y",E3="N",K3="Y",OR(C3="12:15 PM",C3="2:00 PM")),SUMPRODUCT(($AD$2:AD3="Y")*($E$2:E3="N")*($K$2:K3="Y")*(($C$2:C3="12:15 PM")+($C$2:C3="2:00 PM"))), "")</f>
        <v/>
      </c>
      <c r="AO3" s="119">
        <f>IF(AND(AD3="Y",C3="12:15 PM",E3="N",L3="Y"),COUNTIFS($AD$2:AD3,"Y",$C$2:C3,"12:15 PM",$E$2:E3,"N",$L$2:L3,"Y"),"")</f>
        <v/>
      </c>
      <c r="AP3" s="119">
        <f>IF(AND(AD3="Y",C3="2:00 PM",E3="N",L3="Y"),COUNTIFS($AD$2:AD3,"Y",$C$2:C3,"2:00 PM",$E$2:E3,"N",$L$2:L3,"Y"),"")</f>
        <v/>
      </c>
    </row>
    <row r="4" ht="14.25" customHeight="1" s="120">
      <c r="A4" s="231" t="inlineStr">
        <is>
          <t>EMP-0003</t>
        </is>
      </c>
      <c r="B4" s="232" t="inlineStr">
        <is>
          <t>Abebe Ambaye</t>
        </is>
      </c>
      <c r="C4" s="232" t="inlineStr">
        <is>
          <t>5:45 AM</t>
        </is>
      </c>
      <c r="D4" s="232" t="inlineStr">
        <is>
          <t>Sat, Sun</t>
        </is>
      </c>
      <c r="E4" s="232" t="inlineStr">
        <is>
          <t>Y</t>
        </is>
      </c>
      <c r="F4" s="232" t="inlineStr">
        <is>
          <t>N</t>
        </is>
      </c>
      <c r="G4" s="232" t="inlineStr">
        <is>
          <t>Y</t>
        </is>
      </c>
      <c r="H4" s="232" t="inlineStr">
        <is>
          <t>None</t>
        </is>
      </c>
      <c r="I4" s="232" t="inlineStr">
        <is>
          <t>N</t>
        </is>
      </c>
      <c r="J4" s="232" t="inlineStr">
        <is>
          <t>N</t>
        </is>
      </c>
      <c r="K4" s="232" t="inlineStr">
        <is>
          <t>N</t>
        </is>
      </c>
      <c r="L4" s="232" t="inlineStr">
        <is>
          <t>Y</t>
        </is>
      </c>
      <c r="M4" s="232" t="inlineStr">
        <is>
          <t>Standard</t>
        </is>
      </c>
      <c r="N4" s="232" t="n"/>
      <c r="O4" s="232" t="n"/>
      <c r="P4" s="232" t="inlineStr">
        <is>
          <t>N</t>
        </is>
      </c>
      <c r="Q4" s="232" t="n"/>
      <c r="R4" s="232" t="n"/>
      <c r="S4" s="232" t="n"/>
      <c r="T4" s="233" t="inlineStr">
        <is>
          <t>N</t>
        </is>
      </c>
      <c r="U4" s="227">
        <f>IF($B4="","",IF(AND($G4="Y",ISERROR(SEARCH(TEXT('Control Center'!$B$3,"ddd"),TRIM($D4)))),"Y","N"))</f>
        <v/>
      </c>
      <c r="V4" s="227">
        <f>IF($B4="","",IF(AND($U4="Y",OR($C4="3:45 AM",$C4="5:45 AM"),OR('Control Center'!$B$4="N",$K4&lt;&gt;"Y")),"Y","N"))</f>
        <v/>
      </c>
      <c r="W4" s="227">
        <f>IF($B4="","",IF(AND($U4="Y",OR($C4="12:15 PM",$C4="2:00 PM"),OR('Control Center'!$B$5="N",$K4&lt;&gt;"Y")),"Y","N"))</f>
        <v/>
      </c>
      <c r="X4" s="228" t="n"/>
      <c r="Y4" s="229" t="n"/>
      <c r="Z4" s="228" t="n"/>
      <c r="AA4" s="229" t="n"/>
      <c r="AB4" s="230">
        <f>IF($B4="","",IF($P4="Y",IF($Y4="Y","Completed","In Progress"),""))</f>
        <v/>
      </c>
      <c r="AC4" s="119">
        <f>IF($B4="","",IF(COUNTIFS('Approved Absences'!$A$2:$A$200,$B4,'Approved Absences'!$B$2:$B$200,"&lt;="&amp;INT('Control Center'!$B$3),'Approved Absences'!$C$2:$C$200,"&gt;="&amp;INT('Control Center'!$B$3))&gt;0,"Y","N"))</f>
        <v/>
      </c>
      <c r="AD4" s="119">
        <f>IF($B4="","",IF(AND($G4="Y",$AC4&lt;&gt;"Y",ISERROR(SEARCH(TEXT('Control Center'!$B$3,"ddd"),TRIM($D4)))),"Y","N"))</f>
        <v/>
      </c>
      <c r="AE4" s="119">
        <f>IF(AND(AD4="Y",C4="3:45 AM",E4="N",K4&lt;&gt;"Y"),COUNTIFS($AD$2:AD4,"Y",$C$2:C4,"3:45 AM",$E$2:E4,"N",$K$2:K4,"&lt;&gt;Y"),"")</f>
        <v/>
      </c>
      <c r="AF4" s="119">
        <f>IF(AND(AD4="Y",C4="5:45 AM",E4="N",K4&lt;&gt;"Y"),COUNTIFS($AD$2:AD4,"Y",$C$2:C4,"5:45 AM",$E$2:E4,"N",$K$2:K4,"&lt;&gt;Y"),"")</f>
        <v/>
      </c>
      <c r="AG4" s="119">
        <f>IF(AND(AD4="Y",C4="3:45 AM",E4="N",L4="Y",K4&lt;&gt;"Y"),COUNTIFS($AD$2:AD4,"Y",$C$2:C4,"3:45 AM",$E$2:E4,"N",$L$2:L4,"Y",$K$2:K4,"&lt;&gt;Y"),"")</f>
        <v/>
      </c>
      <c r="AH4" s="119">
        <f>IF(AND(AD4="Y",C4="5:45 AM",E4="N",L4="Y",K4&lt;&gt;"Y"),COUNTIFS($AD$2:AD4,"Y",$C$2:C4,"5:45 AM",$E$2:E4,"N",$L$2:L4,"Y",$K$2:K4,"&lt;&gt;Y"),"")</f>
        <v/>
      </c>
      <c r="AI4" s="119">
        <f>IF(AND(AD4="Y",E4="N",K4="Y",OR(C4="3:45 AM",C4="5:45 AM")),SUMPRODUCT(($AD$2:AD4="Y")*($E$2:E4="N")*($K$2:K4="Y")*(($C$2:C4="3:45 AM")+($C$2:C4="5:45 AM"))), "")</f>
        <v/>
      </c>
      <c r="AJ4" s="119">
        <f>IF(AND(AD4="Y",C4="3:45 AM",E4="N",J4="Y"),COUNTIFS($AD$2:AD4,"Y",$C$2:C4,"3:45 AM",$E$2:E4,"N",$J$2:J4,"Y"),"")</f>
        <v/>
      </c>
      <c r="AK4" s="119">
        <f>IF(AND(AD4="Y",E4="N",I4="Y",OR(C4="3:45 AM",C4="5:45 AM")),SUMPRODUCT(($AD$2:AD4="Y")*($E$2:E4="N")*($I$2:I4="Y")*(($C$2:C4="3:45 AM")+($C$2:C4="5:45 AM"))), "")</f>
        <v/>
      </c>
      <c r="AL4" s="119">
        <f>IF(AND(AD4="Y",C4="12:15 PM",E4="N",K4&lt;&gt;"Y"),COUNTIFS($AD$2:AD4,"Y",$C$2:C4,"12:15 PM",$E$2:E4,"N",$K$2:K4,"&lt;&gt;Y"),"")</f>
        <v/>
      </c>
      <c r="AM4" s="119">
        <f>IF(AND(AD4="Y",C4="2:00 PM",E4="N",K4&lt;&gt;"Y"),COUNTIFS($AD$2:AD4,"Y",$C$2:C4,"2:00 PM",$E$2:E4,"N",$K$2:K4,"&lt;&gt;Y"),"")</f>
        <v/>
      </c>
      <c r="AN4" s="119">
        <f>IF(AND(AD4="Y",E4="N",K4="Y",OR(C4="12:15 PM",C4="2:00 PM")),SUMPRODUCT(($AD$2:AD4="Y")*($E$2:E4="N")*($K$2:K4="Y")*(($C$2:C4="12:15 PM")+($C$2:C4="2:00 PM"))), "")</f>
        <v/>
      </c>
      <c r="AO4" s="119">
        <f>IF(AND(AD4="Y",C4="12:15 PM",E4="N",L4="Y"),COUNTIFS($AD$2:AD4,"Y",$C$2:C4,"12:15 PM",$E$2:E4,"N",$L$2:L4,"Y"),"")</f>
        <v/>
      </c>
      <c r="AP4" s="119">
        <f>IF(AND(AD4="Y",C4="2:00 PM",E4="N",L4="Y"),COUNTIFS($AD$2:AD4,"Y",$C$2:C4,"2:00 PM",$E$2:E4,"N",$L$2:L4,"Y"),"")</f>
        <v/>
      </c>
    </row>
    <row r="5" ht="14.25" customHeight="1" s="120">
      <c r="A5" s="231" t="inlineStr">
        <is>
          <t>EMP-0004</t>
        </is>
      </c>
      <c r="B5" s="232" t="inlineStr">
        <is>
          <t>Adeyeye Opaaje</t>
        </is>
      </c>
      <c r="C5" s="232" t="inlineStr">
        <is>
          <t>5:45 AM</t>
        </is>
      </c>
      <c r="D5" s="232" t="inlineStr">
        <is>
          <t>Sat, Sun</t>
        </is>
      </c>
      <c r="E5" s="232" t="inlineStr">
        <is>
          <t>N</t>
        </is>
      </c>
      <c r="F5" s="232" t="inlineStr">
        <is>
          <t>N</t>
        </is>
      </c>
      <c r="G5" s="232" t="inlineStr">
        <is>
          <t>Y</t>
        </is>
      </c>
      <c r="H5" s="232" t="inlineStr">
        <is>
          <t>None</t>
        </is>
      </c>
      <c r="I5" s="232" t="inlineStr">
        <is>
          <t>N</t>
        </is>
      </c>
      <c r="J5" s="232" t="inlineStr">
        <is>
          <t>Y</t>
        </is>
      </c>
      <c r="K5" s="232" t="inlineStr">
        <is>
          <t>N</t>
        </is>
      </c>
      <c r="L5" s="232" t="inlineStr">
        <is>
          <t>Y</t>
        </is>
      </c>
      <c r="M5" s="232" t="inlineStr">
        <is>
          <t>Standard</t>
        </is>
      </c>
      <c r="N5" s="232" t="n"/>
      <c r="O5" s="232" t="n"/>
      <c r="P5" s="232" t="inlineStr">
        <is>
          <t>N</t>
        </is>
      </c>
      <c r="Q5" s="232" t="n"/>
      <c r="R5" s="232" t="n"/>
      <c r="S5" s="232" t="n"/>
      <c r="T5" s="233" t="inlineStr">
        <is>
          <t>N</t>
        </is>
      </c>
      <c r="U5" s="227">
        <f>IF($B5="","",IF(AND($G5="Y",ISERROR(SEARCH(TEXT('Control Center'!$B$3,"ddd"),TRIM($D5)))),"Y","N"))</f>
        <v/>
      </c>
      <c r="V5" s="227">
        <f>IF($B5="","",IF(AND($U5="Y",OR($C5="3:45 AM",$C5="5:45 AM"),OR('Control Center'!$B$4="N",$K5&lt;&gt;"Y")),"Y","N"))</f>
        <v/>
      </c>
      <c r="W5" s="227">
        <f>IF($B5="","",IF(AND($U5="Y",OR($C5="12:15 PM",$C5="2:00 PM"),OR('Control Center'!$B$5="N",$K5&lt;&gt;"Y")),"Y","N"))</f>
        <v/>
      </c>
      <c r="X5" s="228" t="n"/>
      <c r="Y5" s="229" t="n"/>
      <c r="Z5" s="228" t="n"/>
      <c r="AA5" s="229" t="n"/>
      <c r="AB5" s="230">
        <f>IF($B5="","",IF($P5="Y",IF($Y5="Y","Completed","In Progress"),""))</f>
        <v/>
      </c>
      <c r="AC5" s="119">
        <f>IF($B5="","",IF(COUNTIFS('Approved Absences'!$A$2:$A$200,$B5,'Approved Absences'!$B$2:$B$200,"&lt;="&amp;INT('Control Center'!$B$3),'Approved Absences'!$C$2:$C$200,"&gt;="&amp;INT('Control Center'!$B$3))&gt;0,"Y","N"))</f>
        <v/>
      </c>
      <c r="AD5" s="119">
        <f>IF($B5="","",IF(AND($G5="Y",$AC5&lt;&gt;"Y",ISERROR(SEARCH(TEXT('Control Center'!$B$3,"ddd"),TRIM($D5)))),"Y","N"))</f>
        <v/>
      </c>
      <c r="AE5" s="119">
        <f>IF(AND(AD5="Y",C5="3:45 AM",E5="N",K5&lt;&gt;"Y"),COUNTIFS($AD$2:AD5,"Y",$C$2:C5,"3:45 AM",$E$2:E5,"N",$K$2:K5,"&lt;&gt;Y"),"")</f>
        <v/>
      </c>
      <c r="AF5" s="119">
        <f>IF(AND(AD5="Y",C5="5:45 AM",E5="N",K5&lt;&gt;"Y"),COUNTIFS($AD$2:AD5,"Y",$C$2:C5,"5:45 AM",$E$2:E5,"N",$K$2:K5,"&lt;&gt;Y"),"")</f>
        <v/>
      </c>
      <c r="AG5" s="119">
        <f>IF(AND(AD5="Y",C5="3:45 AM",E5="N",L5="Y",K5&lt;&gt;"Y"),COUNTIFS($AD$2:AD5,"Y",$C$2:C5,"3:45 AM",$E$2:E5,"N",$L$2:L5,"Y",$K$2:K5,"&lt;&gt;Y"),"")</f>
        <v/>
      </c>
      <c r="AH5" s="119">
        <f>IF(AND(AD5="Y",C5="5:45 AM",E5="N",L5="Y",K5&lt;&gt;"Y"),COUNTIFS($AD$2:AD5,"Y",$C$2:C5,"5:45 AM",$E$2:E5,"N",$L$2:L5,"Y",$K$2:K5,"&lt;&gt;Y"),"")</f>
        <v/>
      </c>
      <c r="AI5" s="119">
        <f>IF(AND(AD5="Y",E5="N",K5="Y",OR(C5="3:45 AM",C5="5:45 AM")),SUMPRODUCT(($AD$2:AD5="Y")*($E$2:E5="N")*($K$2:K5="Y")*(($C$2:C5="3:45 AM")+($C$2:C5="5:45 AM"))), "")</f>
        <v/>
      </c>
      <c r="AJ5" s="119">
        <f>IF(AND(AD5="Y",C5="3:45 AM",E5="N",J5="Y"),COUNTIFS($AD$2:AD5,"Y",$C$2:C5,"3:45 AM",$E$2:E5,"N",$J$2:J5,"Y"),"")</f>
        <v/>
      </c>
      <c r="AK5" s="119">
        <f>IF(AND(AD5="Y",E5="N",I5="Y",OR(C5="3:45 AM",C5="5:45 AM")),SUMPRODUCT(($AD$2:AD5="Y")*($E$2:E5="N")*($I$2:I5="Y")*(($C$2:C5="3:45 AM")+($C$2:C5="5:45 AM"))), "")</f>
        <v/>
      </c>
      <c r="AL5" s="119">
        <f>IF(AND(AD5="Y",C5="12:15 PM",E5="N",K5&lt;&gt;"Y"),COUNTIFS($AD$2:AD5,"Y",$C$2:C5,"12:15 PM",$E$2:E5,"N",$K$2:K5,"&lt;&gt;Y"),"")</f>
        <v/>
      </c>
      <c r="AM5" s="119">
        <f>IF(AND(AD5="Y",C5="2:00 PM",E5="N",K5&lt;&gt;"Y"),COUNTIFS($AD$2:AD5,"Y",$C$2:C5,"2:00 PM",$E$2:E5,"N",$K$2:K5,"&lt;&gt;Y"),"")</f>
        <v/>
      </c>
      <c r="AN5" s="119">
        <f>IF(AND(AD5="Y",E5="N",K5="Y",OR(C5="12:15 PM",C5="2:00 PM")),SUMPRODUCT(($AD$2:AD5="Y")*($E$2:E5="N")*($K$2:K5="Y")*(($C$2:C5="12:15 PM")+($C$2:C5="2:00 PM"))), "")</f>
        <v/>
      </c>
      <c r="AO5" s="119">
        <f>IF(AND(AD5="Y",C5="12:15 PM",E5="N",L5="Y"),COUNTIFS($AD$2:AD5,"Y",$C$2:C5,"12:15 PM",$E$2:E5,"N",$L$2:L5,"Y"),"")</f>
        <v/>
      </c>
      <c r="AP5" s="119">
        <f>IF(AND(AD5="Y",C5="2:00 PM",E5="N",L5="Y"),COUNTIFS($AD$2:AD5,"Y",$C$2:C5,"2:00 PM",$E$2:E5,"N",$L$2:L5,"Y"),"")</f>
        <v/>
      </c>
    </row>
    <row r="6" ht="14.25" customHeight="1" s="120">
      <c r="A6" s="231" t="inlineStr">
        <is>
          <t>EMP-0005</t>
        </is>
      </c>
      <c r="B6" s="232" t="inlineStr">
        <is>
          <t>Adrian Franklin</t>
        </is>
      </c>
      <c r="C6" s="232" t="inlineStr">
        <is>
          <t>12:15 PM</t>
        </is>
      </c>
      <c r="D6" s="232" t="inlineStr">
        <is>
          <t>Sun, Mon</t>
        </is>
      </c>
      <c r="E6" s="232" t="inlineStr">
        <is>
          <t>Y</t>
        </is>
      </c>
      <c r="F6" s="232" t="inlineStr">
        <is>
          <t>N</t>
        </is>
      </c>
      <c r="G6" s="232" t="inlineStr">
        <is>
          <t>Y</t>
        </is>
      </c>
      <c r="H6" s="232" t="inlineStr">
        <is>
          <t>None</t>
        </is>
      </c>
      <c r="I6" s="232" t="inlineStr">
        <is>
          <t>N</t>
        </is>
      </c>
      <c r="J6" s="232" t="inlineStr">
        <is>
          <t>Y</t>
        </is>
      </c>
      <c r="K6" s="232" t="inlineStr">
        <is>
          <t>N</t>
        </is>
      </c>
      <c r="L6" s="232" t="inlineStr">
        <is>
          <t>Y</t>
        </is>
      </c>
      <c r="M6" s="232" t="inlineStr">
        <is>
          <t>Standard</t>
        </is>
      </c>
      <c r="N6" s="232" t="n"/>
      <c r="O6" s="232" t="n"/>
      <c r="P6" s="232" t="inlineStr">
        <is>
          <t>N</t>
        </is>
      </c>
      <c r="Q6" s="232" t="n"/>
      <c r="R6" s="232" t="n"/>
      <c r="S6" s="232" t="n"/>
      <c r="T6" s="233" t="inlineStr">
        <is>
          <t>N</t>
        </is>
      </c>
      <c r="U6" s="227">
        <f>IF($B6="","",IF(AND($G6="Y",ISERROR(SEARCH(TEXT('Control Center'!$B$3,"ddd"),TRIM($D6)))),"Y","N"))</f>
        <v/>
      </c>
      <c r="V6" s="227">
        <f>IF($B6="","",IF(AND($U6="Y",OR($C6="3:45 AM",$C6="5:45 AM"),OR('Control Center'!$B$4="N",$K6&lt;&gt;"Y")),"Y","N"))</f>
        <v/>
      </c>
      <c r="W6" s="227">
        <f>IF($B6="","",IF(AND($U6="Y",OR($C6="12:15 PM",$C6="2:00 PM"),OR('Control Center'!$B$5="N",$K6&lt;&gt;"Y")),"Y","N"))</f>
        <v/>
      </c>
      <c r="X6" s="228" t="n"/>
      <c r="Y6" s="229" t="n"/>
      <c r="Z6" s="228" t="n"/>
      <c r="AA6" s="229" t="n"/>
      <c r="AB6" s="230">
        <f>IF($B6="","",IF($P6="Y",IF($Y6="Y","Completed","In Progress"),""))</f>
        <v/>
      </c>
      <c r="AC6" s="119">
        <f>IF($B6="","",IF(COUNTIFS('Approved Absences'!$A$2:$A$200,$B6,'Approved Absences'!$B$2:$B$200,"&lt;="&amp;INT('Control Center'!$B$3),'Approved Absences'!$C$2:$C$200,"&gt;="&amp;INT('Control Center'!$B$3))&gt;0,"Y","N"))</f>
        <v/>
      </c>
      <c r="AD6" s="119">
        <f>IF($B6="","",IF(AND($G6="Y",$AC6&lt;&gt;"Y",ISERROR(SEARCH(TEXT('Control Center'!$B$3,"ddd"),TRIM($D6)))),"Y","N"))</f>
        <v/>
      </c>
      <c r="AE6" s="119">
        <f>IF(AND(AD6="Y",C6="3:45 AM",E6="N",K6&lt;&gt;"Y"),COUNTIFS($AD$2:AD6,"Y",$C$2:C6,"3:45 AM",$E$2:E6,"N",$K$2:K6,"&lt;&gt;Y"),"")</f>
        <v/>
      </c>
      <c r="AF6" s="119">
        <f>IF(AND(AD6="Y",C6="5:45 AM",E6="N",K6&lt;&gt;"Y"),COUNTIFS($AD$2:AD6,"Y",$C$2:C6,"5:45 AM",$E$2:E6,"N",$K$2:K6,"&lt;&gt;Y"),"")</f>
        <v/>
      </c>
      <c r="AG6" s="119">
        <f>IF(AND(AD6="Y",C6="3:45 AM",E6="N",L6="Y",K6&lt;&gt;"Y"),COUNTIFS($AD$2:AD6,"Y",$C$2:C6,"3:45 AM",$E$2:E6,"N",$L$2:L6,"Y",$K$2:K6,"&lt;&gt;Y"),"")</f>
        <v/>
      </c>
      <c r="AH6" s="119">
        <f>IF(AND(AD6="Y",C6="5:45 AM",E6="N",L6="Y",K6&lt;&gt;"Y"),COUNTIFS($AD$2:AD6,"Y",$C$2:C6,"5:45 AM",$E$2:E6,"N",$L$2:L6,"Y",$K$2:K6,"&lt;&gt;Y"),"")</f>
        <v/>
      </c>
      <c r="AI6" s="119">
        <f>IF(AND(AD6="Y",E6="N",K6="Y",OR(C6="3:45 AM",C6="5:45 AM")),SUMPRODUCT(($AD$2:AD6="Y")*($E$2:E6="N")*($K$2:K6="Y")*(($C$2:C6="3:45 AM")+($C$2:C6="5:45 AM"))), "")</f>
        <v/>
      </c>
      <c r="AJ6" s="119">
        <f>IF(AND(AD6="Y",C6="3:45 AM",E6="N",J6="Y"),COUNTIFS($AD$2:AD6,"Y",$C$2:C6,"3:45 AM",$E$2:E6,"N",$J$2:J6,"Y"),"")</f>
        <v/>
      </c>
      <c r="AK6" s="119">
        <f>IF(AND(AD6="Y",E6="N",I6="Y",OR(C6="3:45 AM",C6="5:45 AM")),SUMPRODUCT(($AD$2:AD6="Y")*($E$2:E6="N")*($I$2:I6="Y")*(($C$2:C6="3:45 AM")+($C$2:C6="5:45 AM"))), "")</f>
        <v/>
      </c>
      <c r="AL6" s="119">
        <f>IF(AND(AD6="Y",C6="12:15 PM",E6="N",K6&lt;&gt;"Y"),COUNTIFS($AD$2:AD6,"Y",$C$2:C6,"12:15 PM",$E$2:E6,"N",$K$2:K6,"&lt;&gt;Y"),"")</f>
        <v/>
      </c>
      <c r="AM6" s="119">
        <f>IF(AND(AD6="Y",C6="2:00 PM",E6="N",K6&lt;&gt;"Y"),COUNTIFS($AD$2:AD6,"Y",$C$2:C6,"2:00 PM",$E$2:E6,"N",$K$2:K6,"&lt;&gt;Y"),"")</f>
        <v/>
      </c>
      <c r="AN6" s="119">
        <f>IF(AND(AD6="Y",E6="N",K6="Y",OR(C6="12:15 PM",C6="2:00 PM")),SUMPRODUCT(($AD$2:AD6="Y")*($E$2:E6="N")*($K$2:K6="Y")*(($C$2:C6="12:15 PM")+($C$2:C6="2:00 PM"))), "")</f>
        <v/>
      </c>
      <c r="AO6" s="119">
        <f>IF(AND(AD6="Y",C6="12:15 PM",E6="N",L6="Y"),COUNTIFS($AD$2:AD6,"Y",$C$2:C6,"12:15 PM",$E$2:E6,"N",$L$2:L6,"Y"),"")</f>
        <v/>
      </c>
      <c r="AP6" s="119">
        <f>IF(AND(AD6="Y",C6="2:00 PM",E6="N",L6="Y"),COUNTIFS($AD$2:AD6,"Y",$C$2:C6,"2:00 PM",$E$2:E6,"N",$L$2:L6,"Y"),"")</f>
        <v/>
      </c>
    </row>
    <row r="7" ht="14.25" customHeight="1" s="120">
      <c r="A7" s="231" t="inlineStr">
        <is>
          <t>EMP-0006</t>
        </is>
      </c>
      <c r="B7" s="232" t="inlineStr">
        <is>
          <t>Agnes Bammannage</t>
        </is>
      </c>
      <c r="C7" s="232" t="inlineStr">
        <is>
          <t>12:15 PM</t>
        </is>
      </c>
      <c r="D7" s="232" t="inlineStr">
        <is>
          <t>Fri, Sat</t>
        </is>
      </c>
      <c r="E7" s="232" t="inlineStr">
        <is>
          <t>N</t>
        </is>
      </c>
      <c r="F7" s="232" t="inlineStr">
        <is>
          <t>N</t>
        </is>
      </c>
      <c r="G7" s="232" t="inlineStr">
        <is>
          <t>Y</t>
        </is>
      </c>
      <c r="H7" s="232" t="inlineStr">
        <is>
          <t>None</t>
        </is>
      </c>
      <c r="I7" s="232" t="inlineStr">
        <is>
          <t>N</t>
        </is>
      </c>
      <c r="J7" s="232" t="inlineStr">
        <is>
          <t>N</t>
        </is>
      </c>
      <c r="K7" s="232" t="inlineStr">
        <is>
          <t>N</t>
        </is>
      </c>
      <c r="L7" s="232" t="inlineStr">
        <is>
          <t>Y</t>
        </is>
      </c>
      <c r="M7" s="232" t="inlineStr">
        <is>
          <t>Standard</t>
        </is>
      </c>
      <c r="N7" s="232" t="n"/>
      <c r="O7" s="232" t="n"/>
      <c r="P7" s="232" t="inlineStr">
        <is>
          <t>N</t>
        </is>
      </c>
      <c r="Q7" s="232" t="n"/>
      <c r="R7" s="232" t="n"/>
      <c r="S7" s="232" t="n"/>
      <c r="T7" s="233" t="inlineStr">
        <is>
          <t>N</t>
        </is>
      </c>
      <c r="U7" s="227">
        <f>IF($B7="","",IF(AND($G7="Y",ISERROR(SEARCH(TEXT('Control Center'!$B$3,"ddd"),TRIM($D7)))),"Y","N"))</f>
        <v/>
      </c>
      <c r="V7" s="227">
        <f>IF($B7="","",IF(AND($U7="Y",OR($C7="3:45 AM",$C7="5:45 AM"),OR('Control Center'!$B$4="N",$K7&lt;&gt;"Y")),"Y","N"))</f>
        <v/>
      </c>
      <c r="W7" s="227">
        <f>IF($B7="","",IF(AND($U7="Y",OR($C7="12:15 PM",$C7="2:00 PM"),OR('Control Center'!$B$5="N",$K7&lt;&gt;"Y")),"Y","N"))</f>
        <v/>
      </c>
      <c r="X7" s="228" t="n"/>
      <c r="Y7" s="229" t="n"/>
      <c r="Z7" s="228" t="n"/>
      <c r="AA7" s="229" t="n"/>
      <c r="AB7" s="230">
        <f>IF($B7="","",IF($P7="Y",IF($Y7="Y","Completed","In Progress"),""))</f>
        <v/>
      </c>
      <c r="AC7" s="119">
        <f>IF($B7="","",IF(COUNTIFS('Approved Absences'!$A$2:$A$200,$B7,'Approved Absences'!$B$2:$B$200,"&lt;="&amp;INT('Control Center'!$B$3),'Approved Absences'!$C$2:$C$200,"&gt;="&amp;INT('Control Center'!$B$3))&gt;0,"Y","N"))</f>
        <v/>
      </c>
      <c r="AD7" s="119">
        <f>IF($B7="","",IF(AND($G7="Y",$AC7&lt;&gt;"Y",ISERROR(SEARCH(TEXT('Control Center'!$B$3,"ddd"),TRIM($D7)))),"Y","N"))</f>
        <v/>
      </c>
      <c r="AE7" s="119">
        <f>IF(AND(AD7="Y",C7="3:45 AM",E7="N",K7&lt;&gt;"Y"),COUNTIFS($AD$2:AD7,"Y",$C$2:C7,"3:45 AM",$E$2:E7,"N",$K$2:K7,"&lt;&gt;Y"),"")</f>
        <v/>
      </c>
      <c r="AF7" s="119">
        <f>IF(AND(AD7="Y",C7="5:45 AM",E7="N",K7&lt;&gt;"Y"),COUNTIFS($AD$2:AD7,"Y",$C$2:C7,"5:45 AM",$E$2:E7,"N",$K$2:K7,"&lt;&gt;Y"),"")</f>
        <v/>
      </c>
      <c r="AG7" s="119">
        <f>IF(AND(AD7="Y",C7="3:45 AM",E7="N",L7="Y",K7&lt;&gt;"Y"),COUNTIFS($AD$2:AD7,"Y",$C$2:C7,"3:45 AM",$E$2:E7,"N",$L$2:L7,"Y",$K$2:K7,"&lt;&gt;Y"),"")</f>
        <v/>
      </c>
      <c r="AH7" s="119">
        <f>IF(AND(AD7="Y",C7="5:45 AM",E7="N",L7="Y",K7&lt;&gt;"Y"),COUNTIFS($AD$2:AD7,"Y",$C$2:C7,"5:45 AM",$E$2:E7,"N",$L$2:L7,"Y",$K$2:K7,"&lt;&gt;Y"),"")</f>
        <v/>
      </c>
      <c r="AI7" s="119">
        <f>IF(AND(AD7="Y",E7="N",K7="Y",OR(C7="3:45 AM",C7="5:45 AM")),SUMPRODUCT(($AD$2:AD7="Y")*($E$2:E7="N")*($K$2:K7="Y")*(($C$2:C7="3:45 AM")+($C$2:C7="5:45 AM"))), "")</f>
        <v/>
      </c>
      <c r="AJ7" s="119">
        <f>IF(AND(AD7="Y",C7="3:45 AM",E7="N",J7="Y"),COUNTIFS($AD$2:AD7,"Y",$C$2:C7,"3:45 AM",$E$2:E7,"N",$J$2:J7,"Y"),"")</f>
        <v/>
      </c>
      <c r="AK7" s="119">
        <f>IF(AND(AD7="Y",E7="N",I7="Y",OR(C7="3:45 AM",C7="5:45 AM")),SUMPRODUCT(($AD$2:AD7="Y")*($E$2:E7="N")*($I$2:I7="Y")*(($C$2:C7="3:45 AM")+($C$2:C7="5:45 AM"))), "")</f>
        <v/>
      </c>
      <c r="AL7" s="119">
        <f>IF(AND(AD7="Y",C7="12:15 PM",E7="N",K7&lt;&gt;"Y"),COUNTIFS($AD$2:AD7,"Y",$C$2:C7,"12:15 PM",$E$2:E7,"N",$K$2:K7,"&lt;&gt;Y"),"")</f>
        <v/>
      </c>
      <c r="AM7" s="119">
        <f>IF(AND(AD7="Y",C7="2:00 PM",E7="N",K7&lt;&gt;"Y"),COUNTIFS($AD$2:AD7,"Y",$C$2:C7,"2:00 PM",$E$2:E7,"N",$K$2:K7,"&lt;&gt;Y"),"")</f>
        <v/>
      </c>
      <c r="AN7" s="119">
        <f>IF(AND(AD7="Y",E7="N",K7="Y",OR(C7="12:15 PM",C7="2:00 PM")),SUMPRODUCT(($AD$2:AD7="Y")*($E$2:E7="N")*($K$2:K7="Y")*(($C$2:C7="12:15 PM")+($C$2:C7="2:00 PM"))), "")</f>
        <v/>
      </c>
      <c r="AO7" s="119">
        <f>IF(AND(AD7="Y",C7="12:15 PM",E7="N",L7="Y"),COUNTIFS($AD$2:AD7,"Y",$C$2:C7,"12:15 PM",$E$2:E7,"N",$L$2:L7,"Y"),"")</f>
        <v/>
      </c>
      <c r="AP7" s="119">
        <f>IF(AND(AD7="Y",C7="2:00 PM",E7="N",L7="Y"),COUNTIFS($AD$2:AD7,"Y",$C$2:C7,"2:00 PM",$E$2:E7,"N",$L$2:L7,"Y"),"")</f>
        <v/>
      </c>
    </row>
    <row r="8" ht="14.25" customHeight="1" s="120">
      <c r="A8" s="231" t="inlineStr">
        <is>
          <t>EMP-0007</t>
        </is>
      </c>
      <c r="B8" s="232" t="inlineStr">
        <is>
          <t>Ahamed John</t>
        </is>
      </c>
      <c r="C8" s="232" t="inlineStr">
        <is>
          <t>3:45 AM</t>
        </is>
      </c>
      <c r="D8" s="232" t="inlineStr">
        <is>
          <t>Thu, Fri</t>
        </is>
      </c>
      <c r="E8" s="232" t="inlineStr">
        <is>
          <t>N</t>
        </is>
      </c>
      <c r="F8" s="232" t="inlineStr">
        <is>
          <t>Y</t>
        </is>
      </c>
      <c r="G8" s="232" t="inlineStr">
        <is>
          <t>Y</t>
        </is>
      </c>
      <c r="H8" s="232" t="inlineStr">
        <is>
          <t>None</t>
        </is>
      </c>
      <c r="I8" s="232" t="inlineStr">
        <is>
          <t>N</t>
        </is>
      </c>
      <c r="J8" s="232" t="inlineStr">
        <is>
          <t>Y</t>
        </is>
      </c>
      <c r="K8" s="232" t="inlineStr">
        <is>
          <t>N</t>
        </is>
      </c>
      <c r="L8" s="232" t="inlineStr">
        <is>
          <t>Y</t>
        </is>
      </c>
      <c r="M8" s="232" t="inlineStr">
        <is>
          <t>Standard</t>
        </is>
      </c>
      <c r="N8" s="232" t="n"/>
      <c r="O8" s="232" t="n"/>
      <c r="P8" s="232" t="inlineStr">
        <is>
          <t>N</t>
        </is>
      </c>
      <c r="Q8" s="232" t="n"/>
      <c r="R8" s="232" t="n"/>
      <c r="S8" s="232" t="n"/>
      <c r="T8" s="233" t="inlineStr">
        <is>
          <t>N</t>
        </is>
      </c>
      <c r="U8" s="227">
        <f>IF($B8="","",IF(AND($G8="Y",ISERROR(SEARCH(TEXT('Control Center'!$B$3,"ddd"),TRIM($D8)))),"Y","N"))</f>
        <v/>
      </c>
      <c r="V8" s="227">
        <f>IF($B8="","",IF(AND($U8="Y",OR($C8="3:45 AM",$C8="5:45 AM"),OR('Control Center'!$B$4="N",$K8&lt;&gt;"Y")),"Y","N"))</f>
        <v/>
      </c>
      <c r="W8" s="227">
        <f>IF($B8="","",IF(AND($U8="Y",OR($C8="12:15 PM",$C8="2:00 PM"),OR('Control Center'!$B$5="N",$K8&lt;&gt;"Y")),"Y","N"))</f>
        <v/>
      </c>
      <c r="X8" s="228" t="n"/>
      <c r="Y8" s="229" t="n"/>
      <c r="Z8" s="228" t="n"/>
      <c r="AA8" s="229" t="n"/>
      <c r="AB8" s="230">
        <f>IF($B8="","",IF($P8="Y",IF($Y8="Y","Completed","In Progress"),""))</f>
        <v/>
      </c>
      <c r="AC8" s="119">
        <f>IF($B8="","",IF(COUNTIFS('Approved Absences'!$A$2:$A$200,$B8,'Approved Absences'!$B$2:$B$200,"&lt;="&amp;INT('Control Center'!$B$3),'Approved Absences'!$C$2:$C$200,"&gt;="&amp;INT('Control Center'!$B$3))&gt;0,"Y","N"))</f>
        <v/>
      </c>
      <c r="AD8" s="119">
        <f>IF($B8="","",IF(AND($G8="Y",$AC8&lt;&gt;"Y",ISERROR(SEARCH(TEXT('Control Center'!$B$3,"ddd"),TRIM($D8)))),"Y","N"))</f>
        <v/>
      </c>
      <c r="AE8" s="119">
        <f>IF(AND(AD8="Y",C8="3:45 AM",E8="N",K8&lt;&gt;"Y"),COUNTIFS($AD$2:AD8,"Y",$C$2:C8,"3:45 AM",$E$2:E8,"N",$K$2:K8,"&lt;&gt;Y"),"")</f>
        <v/>
      </c>
      <c r="AF8" s="119">
        <f>IF(AND(AD8="Y",C8="5:45 AM",E8="N",K8&lt;&gt;"Y"),COUNTIFS($AD$2:AD8,"Y",$C$2:C8,"5:45 AM",$E$2:E8,"N",$K$2:K8,"&lt;&gt;Y"),"")</f>
        <v/>
      </c>
      <c r="AG8" s="119">
        <f>IF(AND(AD8="Y",C8="3:45 AM",E8="N",L8="Y",K8&lt;&gt;"Y"),COUNTIFS($AD$2:AD8,"Y",$C$2:C8,"3:45 AM",$E$2:E8,"N",$L$2:L8,"Y",$K$2:K8,"&lt;&gt;Y"),"")</f>
        <v/>
      </c>
      <c r="AH8" s="119">
        <f>IF(AND(AD8="Y",C8="5:45 AM",E8="N",L8="Y",K8&lt;&gt;"Y"),COUNTIFS($AD$2:AD8,"Y",$C$2:C8,"5:45 AM",$E$2:E8,"N",$L$2:L8,"Y",$K$2:K8,"&lt;&gt;Y"),"")</f>
        <v/>
      </c>
      <c r="AI8" s="119">
        <f>IF(AND(AD8="Y",E8="N",K8="Y",OR(C8="3:45 AM",C8="5:45 AM")),SUMPRODUCT(($AD$2:AD8="Y")*($E$2:E8="N")*($K$2:K8="Y")*(($C$2:C8="3:45 AM")+($C$2:C8="5:45 AM"))), "")</f>
        <v/>
      </c>
      <c r="AJ8" s="119">
        <f>IF(AND(AD8="Y",C8="3:45 AM",E8="N",J8="Y"),COUNTIFS($AD$2:AD8,"Y",$C$2:C8,"3:45 AM",$E$2:E8,"N",$J$2:J8,"Y"),"")</f>
        <v/>
      </c>
      <c r="AK8" s="119">
        <f>IF(AND(AD8="Y",E8="N",I8="Y",OR(C8="3:45 AM",C8="5:45 AM")),SUMPRODUCT(($AD$2:AD8="Y")*($E$2:E8="N")*($I$2:I8="Y")*(($C$2:C8="3:45 AM")+($C$2:C8="5:45 AM"))), "")</f>
        <v/>
      </c>
      <c r="AL8" s="119">
        <f>IF(AND(AD8="Y",C8="12:15 PM",E8="N",K8&lt;&gt;"Y"),COUNTIFS($AD$2:AD8,"Y",$C$2:C8,"12:15 PM",$E$2:E8,"N",$K$2:K8,"&lt;&gt;Y"),"")</f>
        <v/>
      </c>
      <c r="AM8" s="119">
        <f>IF(AND(AD8="Y",C8="2:00 PM",E8="N",K8&lt;&gt;"Y"),COUNTIFS($AD$2:AD8,"Y",$C$2:C8,"2:00 PM",$E$2:E8,"N",$K$2:K8,"&lt;&gt;Y"),"")</f>
        <v/>
      </c>
      <c r="AN8" s="119">
        <f>IF(AND(AD8="Y",E8="N",K8="Y",OR(C8="12:15 PM",C8="2:00 PM")),SUMPRODUCT(($AD$2:AD8="Y")*($E$2:E8="N")*($K$2:K8="Y")*(($C$2:C8="12:15 PM")+($C$2:C8="2:00 PM"))), "")</f>
        <v/>
      </c>
      <c r="AO8" s="119">
        <f>IF(AND(AD8="Y",C8="12:15 PM",E8="N",L8="Y"),COUNTIFS($AD$2:AD8,"Y",$C$2:C8,"12:15 PM",$E$2:E8,"N",$L$2:L8,"Y"),"")</f>
        <v/>
      </c>
      <c r="AP8" s="119">
        <f>IF(AND(AD8="Y",C8="2:00 PM",E8="N",L8="Y"),COUNTIFS($AD$2:AD8,"Y",$C$2:C8,"2:00 PM",$E$2:E8,"N",$L$2:L8,"Y"),"")</f>
        <v/>
      </c>
    </row>
    <row r="9" ht="14.25" customHeight="1" s="120">
      <c r="A9" s="231" t="inlineStr">
        <is>
          <t>EMP-0008</t>
        </is>
      </c>
      <c r="B9" s="232" t="inlineStr">
        <is>
          <t>Akuugo Nduaguba</t>
        </is>
      </c>
      <c r="C9" s="232" t="inlineStr">
        <is>
          <t>2:00 PM</t>
        </is>
      </c>
      <c r="D9" s="232" t="inlineStr">
        <is>
          <t>Wed, Thu</t>
        </is>
      </c>
      <c r="E9" s="232" t="inlineStr">
        <is>
          <t>N</t>
        </is>
      </c>
      <c r="F9" s="232" t="inlineStr">
        <is>
          <t>N</t>
        </is>
      </c>
      <c r="G9" s="232" t="inlineStr">
        <is>
          <t>Y</t>
        </is>
      </c>
      <c r="H9" s="232" t="inlineStr">
        <is>
          <t>None</t>
        </is>
      </c>
      <c r="I9" s="232" t="inlineStr">
        <is>
          <t>N</t>
        </is>
      </c>
      <c r="J9" s="232" t="inlineStr">
        <is>
          <t>N</t>
        </is>
      </c>
      <c r="K9" s="232" t="inlineStr">
        <is>
          <t>N</t>
        </is>
      </c>
      <c r="L9" s="232" t="inlineStr">
        <is>
          <t>Y</t>
        </is>
      </c>
      <c r="M9" s="232" t="inlineStr">
        <is>
          <t>Standard</t>
        </is>
      </c>
      <c r="N9" s="232" t="n"/>
      <c r="O9" s="232" t="n"/>
      <c r="P9" s="232" t="inlineStr">
        <is>
          <t>N</t>
        </is>
      </c>
      <c r="Q9" s="232" t="n"/>
      <c r="R9" s="232" t="n"/>
      <c r="S9" s="232" t="n"/>
      <c r="T9" s="233" t="inlineStr">
        <is>
          <t>N</t>
        </is>
      </c>
      <c r="U9" s="227">
        <f>IF($B9="","",IF(AND($G9="Y",ISERROR(SEARCH(TEXT('Control Center'!$B$3,"ddd"),TRIM($D9)))),"Y","N"))</f>
        <v/>
      </c>
      <c r="V9" s="227">
        <f>IF($B9="","",IF(AND($U9="Y",OR($C9="3:45 AM",$C9="5:45 AM"),OR('Control Center'!$B$4="N",$K9&lt;&gt;"Y")),"Y","N"))</f>
        <v/>
      </c>
      <c r="W9" s="227">
        <f>IF($B9="","",IF(AND($U9="Y",OR($C9="12:15 PM",$C9="2:00 PM"),OR('Control Center'!$B$5="N",$K9&lt;&gt;"Y")),"Y","N"))</f>
        <v/>
      </c>
      <c r="X9" s="228" t="n"/>
      <c r="Y9" s="229" t="n"/>
      <c r="Z9" s="228" t="n"/>
      <c r="AA9" s="229" t="n"/>
      <c r="AB9" s="230">
        <f>IF($B9="","",IF($P9="Y",IF($Y9="Y","Completed","In Progress"),""))</f>
        <v/>
      </c>
      <c r="AC9" s="119">
        <f>IF($B9="","",IF(COUNTIFS('Approved Absences'!$A$2:$A$200,$B9,'Approved Absences'!$B$2:$B$200,"&lt;="&amp;INT('Control Center'!$B$3),'Approved Absences'!$C$2:$C$200,"&gt;="&amp;INT('Control Center'!$B$3))&gt;0,"Y","N"))</f>
        <v/>
      </c>
      <c r="AD9" s="119">
        <f>IF($B9="","",IF(AND($G9="Y",$AC9&lt;&gt;"Y",ISERROR(SEARCH(TEXT('Control Center'!$B$3,"ddd"),TRIM($D9)))),"Y","N"))</f>
        <v/>
      </c>
      <c r="AE9" s="119">
        <f>IF(AND(AD9="Y",C9="3:45 AM",E9="N",K9&lt;&gt;"Y"),COUNTIFS($AD$2:AD9,"Y",$C$2:C9,"3:45 AM",$E$2:E9,"N",$K$2:K9,"&lt;&gt;Y"),"")</f>
        <v/>
      </c>
      <c r="AF9" s="119">
        <f>IF(AND(AD9="Y",C9="5:45 AM",E9="N",K9&lt;&gt;"Y"),COUNTIFS($AD$2:AD9,"Y",$C$2:C9,"5:45 AM",$E$2:E9,"N",$K$2:K9,"&lt;&gt;Y"),"")</f>
        <v/>
      </c>
      <c r="AG9" s="119">
        <f>IF(AND(AD9="Y",C9="3:45 AM",E9="N",L9="Y",K9&lt;&gt;"Y"),COUNTIFS($AD$2:AD9,"Y",$C$2:C9,"3:45 AM",$E$2:E9,"N",$L$2:L9,"Y",$K$2:K9,"&lt;&gt;Y"),"")</f>
        <v/>
      </c>
      <c r="AH9" s="119">
        <f>IF(AND(AD9="Y",C9="5:45 AM",E9="N",L9="Y",K9&lt;&gt;"Y"),COUNTIFS($AD$2:AD9,"Y",$C$2:C9,"5:45 AM",$E$2:E9,"N",$L$2:L9,"Y",$K$2:K9,"&lt;&gt;Y"),"")</f>
        <v/>
      </c>
      <c r="AI9" s="119">
        <f>IF(AND(AD9="Y",E9="N",K9="Y",OR(C9="3:45 AM",C9="5:45 AM")),SUMPRODUCT(($AD$2:AD9="Y")*($E$2:E9="N")*($K$2:K9="Y")*(($C$2:C9="3:45 AM")+($C$2:C9="5:45 AM"))), "")</f>
        <v/>
      </c>
      <c r="AJ9" s="119">
        <f>IF(AND(AD9="Y",C9="3:45 AM",E9="N",J9="Y"),COUNTIFS($AD$2:AD9,"Y",$C$2:C9,"3:45 AM",$E$2:E9,"N",$J$2:J9,"Y"),"")</f>
        <v/>
      </c>
      <c r="AK9" s="119">
        <f>IF(AND(AD9="Y",E9="N",I9="Y",OR(C9="3:45 AM",C9="5:45 AM")),SUMPRODUCT(($AD$2:AD9="Y")*($E$2:E9="N")*($I$2:I9="Y")*(($C$2:C9="3:45 AM")+($C$2:C9="5:45 AM"))), "")</f>
        <v/>
      </c>
      <c r="AL9" s="119">
        <f>IF(AND(AD9="Y",C9="12:15 PM",E9="N",K9&lt;&gt;"Y"),COUNTIFS($AD$2:AD9,"Y",$C$2:C9,"12:15 PM",$E$2:E9,"N",$K$2:K9,"&lt;&gt;Y"),"")</f>
        <v/>
      </c>
      <c r="AM9" s="119">
        <f>IF(AND(AD9="Y",C9="2:00 PM",E9="N",K9&lt;&gt;"Y"),COUNTIFS($AD$2:AD9,"Y",$C$2:C9,"2:00 PM",$E$2:E9,"N",$K$2:K9,"&lt;&gt;Y"),"")</f>
        <v/>
      </c>
      <c r="AN9" s="119">
        <f>IF(AND(AD9="Y",E9="N",K9="Y",OR(C9="12:15 PM",C9="2:00 PM")),SUMPRODUCT(($AD$2:AD9="Y")*($E$2:E9="N")*($K$2:K9="Y")*(($C$2:C9="12:15 PM")+($C$2:C9="2:00 PM"))), "")</f>
        <v/>
      </c>
      <c r="AO9" s="119">
        <f>IF(AND(AD9="Y",C9="12:15 PM",E9="N",L9="Y"),COUNTIFS($AD$2:AD9,"Y",$C$2:C9,"12:15 PM",$E$2:E9,"N",$L$2:L9,"Y"),"")</f>
        <v/>
      </c>
      <c r="AP9" s="119">
        <f>IF(AND(AD9="Y",C9="2:00 PM",E9="N",L9="Y"),COUNTIFS($AD$2:AD9,"Y",$C$2:C9,"2:00 PM",$E$2:E9,"N",$L$2:L9,"Y"),"")</f>
        <v/>
      </c>
    </row>
    <row r="10" ht="14.25" customHeight="1" s="120">
      <c r="A10" s="231" t="inlineStr">
        <is>
          <t>EMP-0009</t>
        </is>
      </c>
      <c r="B10" s="232" t="inlineStr">
        <is>
          <t>Aleah Mckinnon</t>
        </is>
      </c>
      <c r="C10" s="232" t="inlineStr">
        <is>
          <t>5:45 AM</t>
        </is>
      </c>
      <c r="D10" s="232" t="inlineStr">
        <is>
          <t>Thu, Fri</t>
        </is>
      </c>
      <c r="E10" s="232" t="inlineStr">
        <is>
          <t>N</t>
        </is>
      </c>
      <c r="F10" s="232" t="inlineStr">
        <is>
          <t>N</t>
        </is>
      </c>
      <c r="G10" s="232" t="inlineStr">
        <is>
          <t>Y</t>
        </is>
      </c>
      <c r="H10" s="232" t="inlineStr">
        <is>
          <t>None</t>
        </is>
      </c>
      <c r="I10" s="232" t="inlineStr">
        <is>
          <t>N</t>
        </is>
      </c>
      <c r="J10" s="232" t="inlineStr">
        <is>
          <t>N</t>
        </is>
      </c>
      <c r="K10" s="232" t="inlineStr">
        <is>
          <t>N</t>
        </is>
      </c>
      <c r="L10" s="232" t="inlineStr">
        <is>
          <t>Y</t>
        </is>
      </c>
      <c r="M10" s="232" t="inlineStr">
        <is>
          <t>Standard</t>
        </is>
      </c>
      <c r="N10" s="232" t="n"/>
      <c r="O10" s="232" t="n"/>
      <c r="P10" s="232" t="inlineStr">
        <is>
          <t>N</t>
        </is>
      </c>
      <c r="Q10" s="232" t="n"/>
      <c r="R10" s="232" t="n"/>
      <c r="S10" s="232" t="n"/>
      <c r="T10" s="233" t="inlineStr">
        <is>
          <t>N</t>
        </is>
      </c>
      <c r="U10" s="227">
        <f>IF($B10="","",IF(AND($G10="Y",ISERROR(SEARCH(TEXT('Control Center'!$B$3,"ddd"),TRIM($D10)))),"Y","N"))</f>
        <v/>
      </c>
      <c r="V10" s="227">
        <f>IF($B10="","",IF(AND($U10="Y",OR($C10="3:45 AM",$C10="5:45 AM"),OR('Control Center'!$B$4="N",$K10&lt;&gt;"Y")),"Y","N"))</f>
        <v/>
      </c>
      <c r="W10" s="227">
        <f>IF($B10="","",IF(AND($U10="Y",OR($C10="12:15 PM",$C10="2:00 PM"),OR('Control Center'!$B$5="N",$K10&lt;&gt;"Y")),"Y","N"))</f>
        <v/>
      </c>
      <c r="X10" s="228" t="n"/>
      <c r="Y10" s="229" t="n"/>
      <c r="Z10" s="228" t="n"/>
      <c r="AA10" s="229" t="n"/>
      <c r="AB10" s="230">
        <f>IF($B10="","",IF($P10="Y",IF($Y10="Y","Completed","In Progress"),""))</f>
        <v/>
      </c>
      <c r="AC10" s="119">
        <f>IF($B10="","",IF(COUNTIFS('Approved Absences'!$A$2:$A$200,$B10,'Approved Absences'!$B$2:$B$200,"&lt;="&amp;INT('Control Center'!$B$3),'Approved Absences'!$C$2:$C$200,"&gt;="&amp;INT('Control Center'!$B$3))&gt;0,"Y","N"))</f>
        <v/>
      </c>
      <c r="AD10" s="119">
        <f>IF($B10="","",IF(AND($G10="Y",$AC10&lt;&gt;"Y",ISERROR(SEARCH(TEXT('Control Center'!$B$3,"ddd"),TRIM($D10)))),"Y","N"))</f>
        <v/>
      </c>
      <c r="AE10" s="119">
        <f>IF(AND(AD10="Y",C10="3:45 AM",E10="N",K10&lt;&gt;"Y"),COUNTIFS($AD$2:AD10,"Y",$C$2:C10,"3:45 AM",$E$2:E10,"N",$K$2:K10,"&lt;&gt;Y"),"")</f>
        <v/>
      </c>
      <c r="AF10" s="119">
        <f>IF(AND(AD10="Y",C10="5:45 AM",E10="N",K10&lt;&gt;"Y"),COUNTIFS($AD$2:AD10,"Y",$C$2:C10,"5:45 AM",$E$2:E10,"N",$K$2:K10,"&lt;&gt;Y"),"")</f>
        <v/>
      </c>
      <c r="AG10" s="119">
        <f>IF(AND(AD10="Y",C10="3:45 AM",E10="N",L10="Y",K10&lt;&gt;"Y"),COUNTIFS($AD$2:AD10,"Y",$C$2:C10,"3:45 AM",$E$2:E10,"N",$L$2:L10,"Y",$K$2:K10,"&lt;&gt;Y"),"")</f>
        <v/>
      </c>
      <c r="AH10" s="119">
        <f>IF(AND(AD10="Y",C10="5:45 AM",E10="N",L10="Y",K10&lt;&gt;"Y"),COUNTIFS($AD$2:AD10,"Y",$C$2:C10,"5:45 AM",$E$2:E10,"N",$L$2:L10,"Y",$K$2:K10,"&lt;&gt;Y"),"")</f>
        <v/>
      </c>
      <c r="AI10" s="119">
        <f>IF(AND(AD10="Y",E10="N",K10="Y",OR(C10="3:45 AM",C10="5:45 AM")),SUMPRODUCT(($AD$2:AD10="Y")*($E$2:E10="N")*($K$2:K10="Y")*(($C$2:C10="3:45 AM")+($C$2:C10="5:45 AM"))), "")</f>
        <v/>
      </c>
      <c r="AJ10" s="119">
        <f>IF(AND(AD10="Y",C10="3:45 AM",E10="N",J10="Y"),COUNTIFS($AD$2:AD10,"Y",$C$2:C10,"3:45 AM",$E$2:E10,"N",$J$2:J10,"Y"),"")</f>
        <v/>
      </c>
      <c r="AK10" s="119">
        <f>IF(AND(AD10="Y",E10="N",I10="Y",OR(C10="3:45 AM",C10="5:45 AM")),SUMPRODUCT(($AD$2:AD10="Y")*($E$2:E10="N")*($I$2:I10="Y")*(($C$2:C10="3:45 AM")+($C$2:C10="5:45 AM"))), "")</f>
        <v/>
      </c>
      <c r="AL10" s="119">
        <f>IF(AND(AD10="Y",C10="12:15 PM",E10="N",K10&lt;&gt;"Y"),COUNTIFS($AD$2:AD10,"Y",$C$2:C10,"12:15 PM",$E$2:E10,"N",$K$2:K10,"&lt;&gt;Y"),"")</f>
        <v/>
      </c>
      <c r="AM10" s="119">
        <f>IF(AND(AD10="Y",C10="2:00 PM",E10="N",K10&lt;&gt;"Y"),COUNTIFS($AD$2:AD10,"Y",$C$2:C10,"2:00 PM",$E$2:E10,"N",$K$2:K10,"&lt;&gt;Y"),"")</f>
        <v/>
      </c>
      <c r="AN10" s="119">
        <f>IF(AND(AD10="Y",E10="N",K10="Y",OR(C10="12:15 PM",C10="2:00 PM")),SUMPRODUCT(($AD$2:AD10="Y")*($E$2:E10="N")*($K$2:K10="Y")*(($C$2:C10="12:15 PM")+($C$2:C10="2:00 PM"))), "")</f>
        <v/>
      </c>
      <c r="AO10" s="119">
        <f>IF(AND(AD10="Y",C10="12:15 PM",E10="N",L10="Y"),COUNTIFS($AD$2:AD10,"Y",$C$2:C10,"12:15 PM",$E$2:E10,"N",$L$2:L10,"Y"),"")</f>
        <v/>
      </c>
      <c r="AP10" s="119">
        <f>IF(AND(AD10="Y",C10="2:00 PM",E10="N",L10="Y"),COUNTIFS($AD$2:AD10,"Y",$C$2:C10,"2:00 PM",$E$2:E10,"N",$L$2:L10,"Y"),"")</f>
        <v/>
      </c>
    </row>
    <row r="11" ht="14.25" customHeight="1" s="120">
      <c r="A11" s="231" t="inlineStr">
        <is>
          <t>EMP-0010</t>
        </is>
      </c>
      <c r="B11" s="232" t="inlineStr">
        <is>
          <t>Allen Suggs</t>
        </is>
      </c>
      <c r="C11" s="232" t="inlineStr">
        <is>
          <t>3:45 AM</t>
        </is>
      </c>
      <c r="D11" s="232" t="inlineStr">
        <is>
          <t>Fri, Sat</t>
        </is>
      </c>
      <c r="E11" s="232" t="inlineStr">
        <is>
          <t>N</t>
        </is>
      </c>
      <c r="F11" s="232" t="inlineStr">
        <is>
          <t>Y</t>
        </is>
      </c>
      <c r="G11" s="232" t="inlineStr">
        <is>
          <t>Y</t>
        </is>
      </c>
      <c r="H11" s="232" t="inlineStr">
        <is>
          <t>None</t>
        </is>
      </c>
      <c r="I11" s="232" t="inlineStr">
        <is>
          <t>N</t>
        </is>
      </c>
      <c r="J11" s="232" t="inlineStr">
        <is>
          <t>Y</t>
        </is>
      </c>
      <c r="K11" s="232" t="inlineStr">
        <is>
          <t>N</t>
        </is>
      </c>
      <c r="L11" s="232" t="inlineStr">
        <is>
          <t>Y</t>
        </is>
      </c>
      <c r="M11" s="232" t="inlineStr">
        <is>
          <t>Standard</t>
        </is>
      </c>
      <c r="N11" s="232" t="n"/>
      <c r="O11" s="232" t="n"/>
      <c r="P11" s="232" t="inlineStr">
        <is>
          <t>N</t>
        </is>
      </c>
      <c r="Q11" s="232" t="n"/>
      <c r="R11" s="232" t="n"/>
      <c r="S11" s="232" t="n"/>
      <c r="T11" s="233" t="inlineStr">
        <is>
          <t>N</t>
        </is>
      </c>
      <c r="U11" s="227">
        <f>IF($B11="","",IF(AND($G11="Y",ISERROR(SEARCH(TEXT('Control Center'!$B$3,"ddd"),TRIM($D11)))),"Y","N"))</f>
        <v/>
      </c>
      <c r="V11" s="227">
        <f>IF($B11="","",IF(AND($U11="Y",OR($C11="3:45 AM",$C11="5:45 AM"),OR('Control Center'!$B$4="N",$K11&lt;&gt;"Y")),"Y","N"))</f>
        <v/>
      </c>
      <c r="W11" s="227">
        <f>IF($B11="","",IF(AND($U11="Y",OR($C11="12:15 PM",$C11="2:00 PM"),OR('Control Center'!$B$5="N",$K11&lt;&gt;"Y")),"Y","N"))</f>
        <v/>
      </c>
      <c r="X11" s="228" t="n"/>
      <c r="Y11" s="229" t="n"/>
      <c r="Z11" s="228" t="n"/>
      <c r="AA11" s="229" t="n"/>
      <c r="AB11" s="230">
        <f>IF($B11="","",IF($P11="Y",IF($Y11="Y","Completed","In Progress"),""))</f>
        <v/>
      </c>
      <c r="AC11" s="119">
        <f>IF($B11="","",IF(COUNTIFS('Approved Absences'!$A$2:$A$200,$B11,'Approved Absences'!$B$2:$B$200,"&lt;="&amp;INT('Control Center'!$B$3),'Approved Absences'!$C$2:$C$200,"&gt;="&amp;INT('Control Center'!$B$3))&gt;0,"Y","N"))</f>
        <v/>
      </c>
      <c r="AD11" s="119">
        <f>IF($B11="","",IF(AND($G11="Y",$AC11&lt;&gt;"Y",ISERROR(SEARCH(TEXT('Control Center'!$B$3,"ddd"),TRIM($D11)))),"Y","N"))</f>
        <v/>
      </c>
      <c r="AE11" s="119">
        <f>IF(AND(AD11="Y",C11="3:45 AM",E11="N",K11&lt;&gt;"Y"),COUNTIFS($AD$2:AD11,"Y",$C$2:C11,"3:45 AM",$E$2:E11,"N",$K$2:K11,"&lt;&gt;Y"),"")</f>
        <v/>
      </c>
      <c r="AF11" s="119">
        <f>IF(AND(AD11="Y",C11="5:45 AM",E11="N",K11&lt;&gt;"Y"),COUNTIFS($AD$2:AD11,"Y",$C$2:C11,"5:45 AM",$E$2:E11,"N",$K$2:K11,"&lt;&gt;Y"),"")</f>
        <v/>
      </c>
      <c r="AG11" s="119">
        <f>IF(AND(AD11="Y",C11="3:45 AM",E11="N",L11="Y",K11&lt;&gt;"Y"),COUNTIFS($AD$2:AD11,"Y",$C$2:C11,"3:45 AM",$E$2:E11,"N",$L$2:L11,"Y",$K$2:K11,"&lt;&gt;Y"),"")</f>
        <v/>
      </c>
      <c r="AH11" s="119">
        <f>IF(AND(AD11="Y",C11="5:45 AM",E11="N",L11="Y",K11&lt;&gt;"Y"),COUNTIFS($AD$2:AD11,"Y",$C$2:C11,"5:45 AM",$E$2:E11,"N",$L$2:L11,"Y",$K$2:K11,"&lt;&gt;Y"),"")</f>
        <v/>
      </c>
      <c r="AI11" s="119">
        <f>IF(AND(AD11="Y",E11="N",K11="Y",OR(C11="3:45 AM",C11="5:45 AM")),SUMPRODUCT(($AD$2:AD11="Y")*($E$2:E11="N")*($K$2:K11="Y")*(($C$2:C11="3:45 AM")+($C$2:C11="5:45 AM"))), "")</f>
        <v/>
      </c>
      <c r="AJ11" s="119">
        <f>IF(AND(AD11="Y",C11="3:45 AM",E11="N",J11="Y"),COUNTIFS($AD$2:AD11,"Y",$C$2:C11,"3:45 AM",$E$2:E11,"N",$J$2:J11,"Y"),"")</f>
        <v/>
      </c>
      <c r="AK11" s="119">
        <f>IF(AND(AD11="Y",E11="N",I11="Y",OR(C11="3:45 AM",C11="5:45 AM")),SUMPRODUCT(($AD$2:AD11="Y")*($E$2:E11="N")*($I$2:I11="Y")*(($C$2:C11="3:45 AM")+($C$2:C11="5:45 AM"))), "")</f>
        <v/>
      </c>
      <c r="AL11" s="119">
        <f>IF(AND(AD11="Y",C11="12:15 PM",E11="N",K11&lt;&gt;"Y"),COUNTIFS($AD$2:AD11,"Y",$C$2:C11,"12:15 PM",$E$2:E11,"N",$K$2:K11,"&lt;&gt;Y"),"")</f>
        <v/>
      </c>
      <c r="AM11" s="119">
        <f>IF(AND(AD11="Y",C11="2:00 PM",E11="N",K11&lt;&gt;"Y"),COUNTIFS($AD$2:AD11,"Y",$C$2:C11,"2:00 PM",$E$2:E11,"N",$K$2:K11,"&lt;&gt;Y"),"")</f>
        <v/>
      </c>
      <c r="AN11" s="119">
        <f>IF(AND(AD11="Y",E11="N",K11="Y",OR(C11="12:15 PM",C11="2:00 PM")),SUMPRODUCT(($AD$2:AD11="Y")*($E$2:E11="N")*($K$2:K11="Y")*(($C$2:C11="12:15 PM")+($C$2:C11="2:00 PM"))), "")</f>
        <v/>
      </c>
      <c r="AO11" s="119">
        <f>IF(AND(AD11="Y",C11="12:15 PM",E11="N",L11="Y"),COUNTIFS($AD$2:AD11,"Y",$C$2:C11,"12:15 PM",$E$2:E11,"N",$L$2:L11,"Y"),"")</f>
        <v/>
      </c>
      <c r="AP11" s="119">
        <f>IF(AND(AD11="Y",C11="2:00 PM",E11="N",L11="Y"),COUNTIFS($AD$2:AD11,"Y",$C$2:C11,"2:00 PM",$E$2:E11,"N",$L$2:L11,"Y"),"")</f>
        <v/>
      </c>
    </row>
    <row r="12" ht="14.25" customHeight="1" s="120">
      <c r="A12" s="231" t="inlineStr">
        <is>
          <t>EMP-0011</t>
        </is>
      </c>
      <c r="B12" s="232" t="inlineStr">
        <is>
          <t>Alyssa Prince</t>
        </is>
      </c>
      <c r="C12" s="232" t="inlineStr">
        <is>
          <t>12:15 PM</t>
        </is>
      </c>
      <c r="D12" s="232" t="inlineStr">
        <is>
          <t>Wed, Thu</t>
        </is>
      </c>
      <c r="E12" s="232" t="inlineStr">
        <is>
          <t>N</t>
        </is>
      </c>
      <c r="F12" s="232" t="inlineStr">
        <is>
          <t>N</t>
        </is>
      </c>
      <c r="G12" s="232" t="inlineStr">
        <is>
          <t>Y</t>
        </is>
      </c>
      <c r="H12" s="232" t="inlineStr">
        <is>
          <t>None</t>
        </is>
      </c>
      <c r="I12" s="232" t="inlineStr">
        <is>
          <t>N</t>
        </is>
      </c>
      <c r="J12" s="232" t="inlineStr">
        <is>
          <t>N</t>
        </is>
      </c>
      <c r="K12" s="232" t="inlineStr">
        <is>
          <t>N</t>
        </is>
      </c>
      <c r="L12" s="232" t="inlineStr">
        <is>
          <t>Y</t>
        </is>
      </c>
      <c r="M12" s="232" t="inlineStr">
        <is>
          <t>Standard</t>
        </is>
      </c>
      <c r="N12" s="232" t="n"/>
      <c r="O12" s="232" t="n"/>
      <c r="P12" s="232" t="inlineStr">
        <is>
          <t>N</t>
        </is>
      </c>
      <c r="Q12" s="232" t="n"/>
      <c r="R12" s="232" t="n"/>
      <c r="S12" s="232" t="n"/>
      <c r="T12" s="233" t="inlineStr">
        <is>
          <t>N</t>
        </is>
      </c>
      <c r="U12" s="227">
        <f>IF($B12="","",IF(AND($G12="Y",ISERROR(SEARCH(TEXT('Control Center'!$B$3,"ddd"),TRIM($D12)))),"Y","N"))</f>
        <v/>
      </c>
      <c r="V12" s="227">
        <f>IF($B12="","",IF(AND($U12="Y",OR($C12="3:45 AM",$C12="5:45 AM"),OR('Control Center'!$B$4="N",$K12&lt;&gt;"Y")),"Y","N"))</f>
        <v/>
      </c>
      <c r="W12" s="227">
        <f>IF($B12="","",IF(AND($U12="Y",OR($C12="12:15 PM",$C12="2:00 PM"),OR('Control Center'!$B$5="N",$K12&lt;&gt;"Y")),"Y","N"))</f>
        <v/>
      </c>
      <c r="X12" s="228" t="n"/>
      <c r="Y12" s="229" t="n"/>
      <c r="Z12" s="228" t="n"/>
      <c r="AA12" s="229" t="n"/>
      <c r="AB12" s="230">
        <f>IF($B12="","",IF($P12="Y",IF($Y12="Y","Completed","In Progress"),""))</f>
        <v/>
      </c>
      <c r="AC12" s="119">
        <f>IF($B12="","",IF(COUNTIFS('Approved Absences'!$A$2:$A$200,$B12,'Approved Absences'!$B$2:$B$200,"&lt;="&amp;INT('Control Center'!$B$3),'Approved Absences'!$C$2:$C$200,"&gt;="&amp;INT('Control Center'!$B$3))&gt;0,"Y","N"))</f>
        <v/>
      </c>
      <c r="AD12" s="119">
        <f>IF($B12="","",IF(AND($G12="Y",$AC12&lt;&gt;"Y",ISERROR(SEARCH(TEXT('Control Center'!$B$3,"ddd"),TRIM($D12)))),"Y","N"))</f>
        <v/>
      </c>
      <c r="AE12" s="119">
        <f>IF(AND(AD12="Y",C12="3:45 AM",E12="N",K12&lt;&gt;"Y"),COUNTIFS($AD$2:AD12,"Y",$C$2:C12,"3:45 AM",$E$2:E12,"N",$K$2:K12,"&lt;&gt;Y"),"")</f>
        <v/>
      </c>
      <c r="AF12" s="119">
        <f>IF(AND(AD12="Y",C12="5:45 AM",E12="N",K12&lt;&gt;"Y"),COUNTIFS($AD$2:AD12,"Y",$C$2:C12,"5:45 AM",$E$2:E12,"N",$K$2:K12,"&lt;&gt;Y"),"")</f>
        <v/>
      </c>
      <c r="AG12" s="119">
        <f>IF(AND(AD12="Y",C12="3:45 AM",E12="N",L12="Y",K12&lt;&gt;"Y"),COUNTIFS($AD$2:AD12,"Y",$C$2:C12,"3:45 AM",$E$2:E12,"N",$L$2:L12,"Y",$K$2:K12,"&lt;&gt;Y"),"")</f>
        <v/>
      </c>
      <c r="AH12" s="119">
        <f>IF(AND(AD12="Y",C12="5:45 AM",E12="N",L12="Y",K12&lt;&gt;"Y"),COUNTIFS($AD$2:AD12,"Y",$C$2:C12,"5:45 AM",$E$2:E12,"N",$L$2:L12,"Y",$K$2:K12,"&lt;&gt;Y"),"")</f>
        <v/>
      </c>
      <c r="AI12" s="119">
        <f>IF(AND(AD12="Y",E12="N",K12="Y",OR(C12="3:45 AM",C12="5:45 AM")),SUMPRODUCT(($AD$2:AD12="Y")*($E$2:E12="N")*($K$2:K12="Y")*(($C$2:C12="3:45 AM")+($C$2:C12="5:45 AM"))), "")</f>
        <v/>
      </c>
      <c r="AJ12" s="119">
        <f>IF(AND(AD12="Y",C12="3:45 AM",E12="N",J12="Y"),COUNTIFS($AD$2:AD12,"Y",$C$2:C12,"3:45 AM",$E$2:E12,"N",$J$2:J12,"Y"),"")</f>
        <v/>
      </c>
      <c r="AK12" s="119">
        <f>IF(AND(AD12="Y",E12="N",I12="Y",OR(C12="3:45 AM",C12="5:45 AM")),SUMPRODUCT(($AD$2:AD12="Y")*($E$2:E12="N")*($I$2:I12="Y")*(($C$2:C12="3:45 AM")+($C$2:C12="5:45 AM"))), "")</f>
        <v/>
      </c>
      <c r="AL12" s="119">
        <f>IF(AND(AD12="Y",C12="12:15 PM",E12="N",K12&lt;&gt;"Y"),COUNTIFS($AD$2:AD12,"Y",$C$2:C12,"12:15 PM",$E$2:E12,"N",$K$2:K12,"&lt;&gt;Y"),"")</f>
        <v/>
      </c>
      <c r="AM12" s="119">
        <f>IF(AND(AD12="Y",C12="2:00 PM",E12="N",K12&lt;&gt;"Y"),COUNTIFS($AD$2:AD12,"Y",$C$2:C12,"2:00 PM",$E$2:E12,"N",$K$2:K12,"&lt;&gt;Y"),"")</f>
        <v/>
      </c>
      <c r="AN12" s="119">
        <f>IF(AND(AD12="Y",E12="N",K12="Y",OR(C12="12:15 PM",C12="2:00 PM")),SUMPRODUCT(($AD$2:AD12="Y")*($E$2:E12="N")*($K$2:K12="Y")*(($C$2:C12="12:15 PM")+($C$2:C12="2:00 PM"))), "")</f>
        <v/>
      </c>
      <c r="AO12" s="119">
        <f>IF(AND(AD12="Y",C12="12:15 PM",E12="N",L12="Y"),COUNTIFS($AD$2:AD12,"Y",$C$2:C12,"12:15 PM",$E$2:E12,"N",$L$2:L12,"Y"),"")</f>
        <v/>
      </c>
      <c r="AP12" s="119">
        <f>IF(AND(AD12="Y",C12="2:00 PM",E12="N",L12="Y"),COUNTIFS($AD$2:AD12,"Y",$C$2:C12,"2:00 PM",$E$2:E12,"N",$L$2:L12,"Y"),"")</f>
        <v/>
      </c>
    </row>
    <row r="13" ht="14.25" customHeight="1" s="120">
      <c r="A13" s="231" t="inlineStr">
        <is>
          <t>EMP-0012</t>
        </is>
      </c>
      <c r="B13" s="232" t="inlineStr">
        <is>
          <t>Amadou Diallo</t>
        </is>
      </c>
      <c r="C13" s="232" t="inlineStr">
        <is>
          <t>12:15 PM</t>
        </is>
      </c>
      <c r="D13" s="232" t="inlineStr">
        <is>
          <t>Thu, Fri</t>
        </is>
      </c>
      <c r="E13" s="232" t="inlineStr">
        <is>
          <t>N</t>
        </is>
      </c>
      <c r="F13" s="232" t="inlineStr">
        <is>
          <t>N</t>
        </is>
      </c>
      <c r="G13" s="232" t="inlineStr">
        <is>
          <t>Y</t>
        </is>
      </c>
      <c r="H13" s="232" t="inlineStr">
        <is>
          <t>5:00 PM</t>
        </is>
      </c>
      <c r="I13" s="232" t="inlineStr">
        <is>
          <t>N</t>
        </is>
      </c>
      <c r="J13" s="232" t="inlineStr">
        <is>
          <t>N</t>
        </is>
      </c>
      <c r="K13" s="232" t="inlineStr">
        <is>
          <t>N</t>
        </is>
      </c>
      <c r="L13" s="232" t="inlineStr">
        <is>
          <t>Y</t>
        </is>
      </c>
      <c r="M13" s="232" t="inlineStr">
        <is>
          <t>Standard</t>
        </is>
      </c>
      <c r="N13" s="232" t="n"/>
      <c r="O13" s="232" t="n"/>
      <c r="P13" s="232" t="inlineStr">
        <is>
          <t>N</t>
        </is>
      </c>
      <c r="Q13" s="232" t="n"/>
      <c r="R13" s="232" t="n"/>
      <c r="S13" s="232" t="n"/>
      <c r="T13" s="233" t="inlineStr">
        <is>
          <t>N</t>
        </is>
      </c>
      <c r="U13" s="227">
        <f>IF($B13="","",IF(AND($G13="Y",ISERROR(SEARCH(TEXT('Control Center'!$B$3,"ddd"),TRIM($D13)))),"Y","N"))</f>
        <v/>
      </c>
      <c r="V13" s="227">
        <f>IF($B13="","",IF(AND($U13="Y",OR($C13="3:45 AM",$C13="5:45 AM"),OR('Control Center'!$B$4="N",$K13&lt;&gt;"Y")),"Y","N"))</f>
        <v/>
      </c>
      <c r="W13" s="227">
        <f>IF($B13="","",IF(AND($U13="Y",OR($C13="12:15 PM",$C13="2:00 PM"),OR('Control Center'!$B$5="N",$K13&lt;&gt;"Y")),"Y","N"))</f>
        <v/>
      </c>
      <c r="X13" s="228" t="n"/>
      <c r="Y13" s="229" t="n"/>
      <c r="Z13" s="228" t="n"/>
      <c r="AA13" s="229" t="n"/>
      <c r="AB13" s="230">
        <f>IF($B13="","",IF($P13="Y",IF($Y13="Y","Completed","In Progress"),""))</f>
        <v/>
      </c>
      <c r="AC13" s="119">
        <f>IF($B13="","",IF(COUNTIFS('Approved Absences'!$A$2:$A$200,$B13,'Approved Absences'!$B$2:$B$200,"&lt;="&amp;INT('Control Center'!$B$3),'Approved Absences'!$C$2:$C$200,"&gt;="&amp;INT('Control Center'!$B$3))&gt;0,"Y","N"))</f>
        <v/>
      </c>
      <c r="AD13" s="119">
        <f>IF($B13="","",IF(AND($G13="Y",$AC13&lt;&gt;"Y",ISERROR(SEARCH(TEXT('Control Center'!$B$3,"ddd"),TRIM($D13)))),"Y","N"))</f>
        <v/>
      </c>
      <c r="AE13" s="119">
        <f>IF(AND(AD13="Y",C13="3:45 AM",E13="N",K13&lt;&gt;"Y"),COUNTIFS($AD$2:AD13,"Y",$C$2:C13,"3:45 AM",$E$2:E13,"N",$K$2:K13,"&lt;&gt;Y"),"")</f>
        <v/>
      </c>
      <c r="AF13" s="119">
        <f>IF(AND(AD13="Y",C13="5:45 AM",E13="N",K13&lt;&gt;"Y"),COUNTIFS($AD$2:AD13,"Y",$C$2:C13,"5:45 AM",$E$2:E13,"N",$K$2:K13,"&lt;&gt;Y"),"")</f>
        <v/>
      </c>
      <c r="AG13" s="119">
        <f>IF(AND(AD13="Y",C13="3:45 AM",E13="N",L13="Y",K13&lt;&gt;"Y"),COUNTIFS($AD$2:AD13,"Y",$C$2:C13,"3:45 AM",$E$2:E13,"N",$L$2:L13,"Y",$K$2:K13,"&lt;&gt;Y"),"")</f>
        <v/>
      </c>
      <c r="AH13" s="119">
        <f>IF(AND(AD13="Y",C13="5:45 AM",E13="N",L13="Y",K13&lt;&gt;"Y"),COUNTIFS($AD$2:AD13,"Y",$C$2:C13,"5:45 AM",$E$2:E13,"N",$L$2:L13,"Y",$K$2:K13,"&lt;&gt;Y"),"")</f>
        <v/>
      </c>
      <c r="AI13" s="119">
        <f>IF(AND(AD13="Y",E13="N",K13="Y",OR(C13="3:45 AM",C13="5:45 AM")),SUMPRODUCT(($AD$2:AD13="Y")*($E$2:E13="N")*($K$2:K13="Y")*(($C$2:C13="3:45 AM")+($C$2:C13="5:45 AM"))), "")</f>
        <v/>
      </c>
      <c r="AJ13" s="119">
        <f>IF(AND(AD13="Y",C13="3:45 AM",E13="N",J13="Y"),COUNTIFS($AD$2:AD13,"Y",$C$2:C13,"3:45 AM",$E$2:E13,"N",$J$2:J13,"Y"),"")</f>
        <v/>
      </c>
      <c r="AK13" s="119">
        <f>IF(AND(AD13="Y",E13="N",I13="Y",OR(C13="3:45 AM",C13="5:45 AM")),SUMPRODUCT(($AD$2:AD13="Y")*($E$2:E13="N")*($I$2:I13="Y")*(($C$2:C13="3:45 AM")+($C$2:C13="5:45 AM"))), "")</f>
        <v/>
      </c>
      <c r="AL13" s="119">
        <f>IF(AND(AD13="Y",C13="12:15 PM",E13="N",K13&lt;&gt;"Y"),COUNTIFS($AD$2:AD13,"Y",$C$2:C13,"12:15 PM",$E$2:E13,"N",$K$2:K13,"&lt;&gt;Y"),"")</f>
        <v/>
      </c>
      <c r="AM13" s="119">
        <f>IF(AND(AD13="Y",C13="2:00 PM",E13="N",K13&lt;&gt;"Y"),COUNTIFS($AD$2:AD13,"Y",$C$2:C13,"2:00 PM",$E$2:E13,"N",$K$2:K13,"&lt;&gt;Y"),"")</f>
        <v/>
      </c>
      <c r="AN13" s="119">
        <f>IF(AND(AD13="Y",E13="N",K13="Y",OR(C13="12:15 PM",C13="2:00 PM")),SUMPRODUCT(($AD$2:AD13="Y")*($E$2:E13="N")*($K$2:K13="Y")*(($C$2:C13="12:15 PM")+($C$2:C13="2:00 PM"))), "")</f>
        <v/>
      </c>
      <c r="AO13" s="119">
        <f>IF(AND(AD13="Y",C13="12:15 PM",E13="N",L13="Y"),COUNTIFS($AD$2:AD13,"Y",$C$2:C13,"12:15 PM",$E$2:E13,"N",$L$2:L13,"Y"),"")</f>
        <v/>
      </c>
      <c r="AP13" s="119">
        <f>IF(AND(AD13="Y",C13="2:00 PM",E13="N",L13="Y"),COUNTIFS($AD$2:AD13,"Y",$C$2:C13,"2:00 PM",$E$2:E13,"N",$L$2:L13,"Y"),"")</f>
        <v/>
      </c>
    </row>
    <row r="14" ht="14.25" customHeight="1" s="120">
      <c r="A14" s="231" t="inlineStr">
        <is>
          <t>EMP-0013</t>
        </is>
      </c>
      <c r="B14" s="232" t="inlineStr">
        <is>
          <t>Amanda Scott</t>
        </is>
      </c>
      <c r="C14" s="232" t="inlineStr">
        <is>
          <t>2:00 PM</t>
        </is>
      </c>
      <c r="D14" s="232" t="inlineStr">
        <is>
          <t>Mon, Tue</t>
        </is>
      </c>
      <c r="E14" s="232" t="inlineStr">
        <is>
          <t>N</t>
        </is>
      </c>
      <c r="F14" s="232" t="inlineStr">
        <is>
          <t>N</t>
        </is>
      </c>
      <c r="G14" s="232" t="inlineStr">
        <is>
          <t>Y</t>
        </is>
      </c>
      <c r="H14" s="232" t="inlineStr">
        <is>
          <t>6:00 PM</t>
        </is>
      </c>
      <c r="I14" s="232" t="inlineStr">
        <is>
          <t>N</t>
        </is>
      </c>
      <c r="J14" s="232" t="inlineStr">
        <is>
          <t>N</t>
        </is>
      </c>
      <c r="K14" s="232" t="inlineStr">
        <is>
          <t>N</t>
        </is>
      </c>
      <c r="L14" s="232" t="inlineStr">
        <is>
          <t>Y</t>
        </is>
      </c>
      <c r="M14" s="232" t="inlineStr">
        <is>
          <t>Standard</t>
        </is>
      </c>
      <c r="N14" s="232" t="n"/>
      <c r="O14" s="232" t="n"/>
      <c r="P14" s="232" t="inlineStr">
        <is>
          <t>N</t>
        </is>
      </c>
      <c r="Q14" s="232" t="n"/>
      <c r="R14" s="232" t="n"/>
      <c r="S14" s="232" t="n"/>
      <c r="T14" s="233" t="inlineStr">
        <is>
          <t>N</t>
        </is>
      </c>
      <c r="U14" s="227">
        <f>IF($B14="","",IF(AND($G14="Y",ISERROR(SEARCH(TEXT('Control Center'!$B$3,"ddd"),TRIM($D14)))),"Y","N"))</f>
        <v/>
      </c>
      <c r="V14" s="227">
        <f>IF($B14="","",IF(AND($U14="Y",OR($C14="3:45 AM",$C14="5:45 AM"),OR('Control Center'!$B$4="N",$K14&lt;&gt;"Y")),"Y","N"))</f>
        <v/>
      </c>
      <c r="W14" s="227">
        <f>IF($B14="","",IF(AND($U14="Y",OR($C14="12:15 PM",$C14="2:00 PM"),OR('Control Center'!$B$5="N",$K14&lt;&gt;"Y")),"Y","N"))</f>
        <v/>
      </c>
      <c r="X14" s="228" t="n"/>
      <c r="Y14" s="229" t="n"/>
      <c r="Z14" s="228" t="n"/>
      <c r="AA14" s="229" t="n"/>
      <c r="AB14" s="230">
        <f>IF($B14="","",IF($P14="Y",IF($Y14="Y","Completed","In Progress"),""))</f>
        <v/>
      </c>
      <c r="AC14" s="119">
        <f>IF($B14="","",IF(COUNTIFS('Approved Absences'!$A$2:$A$200,$B14,'Approved Absences'!$B$2:$B$200,"&lt;="&amp;INT('Control Center'!$B$3),'Approved Absences'!$C$2:$C$200,"&gt;="&amp;INT('Control Center'!$B$3))&gt;0,"Y","N"))</f>
        <v/>
      </c>
      <c r="AD14" s="119">
        <f>IF($B14="","",IF(AND($G14="Y",$AC14&lt;&gt;"Y",ISERROR(SEARCH(TEXT('Control Center'!$B$3,"ddd"),TRIM($D14)))),"Y","N"))</f>
        <v/>
      </c>
      <c r="AE14" s="119">
        <f>IF(AND(AD14="Y",C14="3:45 AM",E14="N",K14&lt;&gt;"Y"),COUNTIFS($AD$2:AD14,"Y",$C$2:C14,"3:45 AM",$E$2:E14,"N",$K$2:K14,"&lt;&gt;Y"),"")</f>
        <v/>
      </c>
      <c r="AF14" s="119">
        <f>IF(AND(AD14="Y",C14="5:45 AM",E14="N",K14&lt;&gt;"Y"),COUNTIFS($AD$2:AD14,"Y",$C$2:C14,"5:45 AM",$E$2:E14,"N",$K$2:K14,"&lt;&gt;Y"),"")</f>
        <v/>
      </c>
      <c r="AG14" s="119">
        <f>IF(AND(AD14="Y",C14="3:45 AM",E14="N",L14="Y",K14&lt;&gt;"Y"),COUNTIFS($AD$2:AD14,"Y",$C$2:C14,"3:45 AM",$E$2:E14,"N",$L$2:L14,"Y",$K$2:K14,"&lt;&gt;Y"),"")</f>
        <v/>
      </c>
      <c r="AH14" s="119">
        <f>IF(AND(AD14="Y",C14="5:45 AM",E14="N",L14="Y",K14&lt;&gt;"Y"),COUNTIFS($AD$2:AD14,"Y",$C$2:C14,"5:45 AM",$E$2:E14,"N",$L$2:L14,"Y",$K$2:K14,"&lt;&gt;Y"),"")</f>
        <v/>
      </c>
      <c r="AI14" s="119">
        <f>IF(AND(AD14="Y",E14="N",K14="Y",OR(C14="3:45 AM",C14="5:45 AM")),SUMPRODUCT(($AD$2:AD14="Y")*($E$2:E14="N")*($K$2:K14="Y")*(($C$2:C14="3:45 AM")+($C$2:C14="5:45 AM"))), "")</f>
        <v/>
      </c>
      <c r="AJ14" s="119">
        <f>IF(AND(AD14="Y",C14="3:45 AM",E14="N",J14="Y"),COUNTIFS($AD$2:AD14,"Y",$C$2:C14,"3:45 AM",$E$2:E14,"N",$J$2:J14,"Y"),"")</f>
        <v/>
      </c>
      <c r="AK14" s="119">
        <f>IF(AND(AD14="Y",E14="N",I14="Y",OR(C14="3:45 AM",C14="5:45 AM")),SUMPRODUCT(($AD$2:AD14="Y")*($E$2:E14="N")*($I$2:I14="Y")*(($C$2:C14="3:45 AM")+($C$2:C14="5:45 AM"))), "")</f>
        <v/>
      </c>
      <c r="AL14" s="119">
        <f>IF(AND(AD14="Y",C14="12:15 PM",E14="N",K14&lt;&gt;"Y"),COUNTIFS($AD$2:AD14,"Y",$C$2:C14,"12:15 PM",$E$2:E14,"N",$K$2:K14,"&lt;&gt;Y"),"")</f>
        <v/>
      </c>
      <c r="AM14" s="119">
        <f>IF(AND(AD14="Y",C14="2:00 PM",E14="N",K14&lt;&gt;"Y"),COUNTIFS($AD$2:AD14,"Y",$C$2:C14,"2:00 PM",$E$2:E14,"N",$K$2:K14,"&lt;&gt;Y"),"")</f>
        <v/>
      </c>
      <c r="AN14" s="119">
        <f>IF(AND(AD14="Y",E14="N",K14="Y",OR(C14="12:15 PM",C14="2:00 PM")),SUMPRODUCT(($AD$2:AD14="Y")*($E$2:E14="N")*($K$2:K14="Y")*(($C$2:C14="12:15 PM")+($C$2:C14="2:00 PM"))), "")</f>
        <v/>
      </c>
      <c r="AO14" s="119">
        <f>IF(AND(AD14="Y",C14="12:15 PM",E14="N",L14="Y"),COUNTIFS($AD$2:AD14,"Y",$C$2:C14,"12:15 PM",$E$2:E14,"N",$L$2:L14,"Y"),"")</f>
        <v/>
      </c>
      <c r="AP14" s="119">
        <f>IF(AND(AD14="Y",C14="2:00 PM",E14="N",L14="Y"),COUNTIFS($AD$2:AD14,"Y",$C$2:C14,"2:00 PM",$E$2:E14,"N",$L$2:L14,"Y"),"")</f>
        <v/>
      </c>
    </row>
    <row r="15" ht="14.25" customHeight="1" s="120">
      <c r="A15" s="231" t="inlineStr">
        <is>
          <t>EMP-0014</t>
        </is>
      </c>
      <c r="B15" s="232" t="inlineStr">
        <is>
          <t>Anariah Daniel</t>
        </is>
      </c>
      <c r="C15" s="232" t="inlineStr">
        <is>
          <t>5:45 AM</t>
        </is>
      </c>
      <c r="D15" s="232" t="inlineStr">
        <is>
          <t>Wed, Thu</t>
        </is>
      </c>
      <c r="E15" s="232" t="inlineStr">
        <is>
          <t>N</t>
        </is>
      </c>
      <c r="F15" s="232" t="inlineStr">
        <is>
          <t>Y</t>
        </is>
      </c>
      <c r="G15" s="232" t="inlineStr">
        <is>
          <t>Y</t>
        </is>
      </c>
      <c r="H15" s="232" t="inlineStr">
        <is>
          <t>None</t>
        </is>
      </c>
      <c r="I15" s="232" t="inlineStr">
        <is>
          <t>N</t>
        </is>
      </c>
      <c r="J15" s="232" t="inlineStr">
        <is>
          <t>N</t>
        </is>
      </c>
      <c r="K15" s="232" t="inlineStr">
        <is>
          <t>N</t>
        </is>
      </c>
      <c r="L15" s="232" t="inlineStr">
        <is>
          <t>Y</t>
        </is>
      </c>
      <c r="M15" s="232" t="inlineStr">
        <is>
          <t>Standard</t>
        </is>
      </c>
      <c r="N15" s="232" t="n"/>
      <c r="O15" s="232" t="n"/>
      <c r="P15" s="232" t="inlineStr">
        <is>
          <t>N</t>
        </is>
      </c>
      <c r="Q15" s="232" t="n"/>
      <c r="R15" s="232" t="n"/>
      <c r="S15" s="232" t="n"/>
      <c r="T15" s="233" t="inlineStr">
        <is>
          <t>N</t>
        </is>
      </c>
      <c r="U15" s="227">
        <f>IF($B15="","",IF(AND($G15="Y",ISERROR(SEARCH(TEXT('Control Center'!$B$3,"ddd"),TRIM($D15)))),"Y","N"))</f>
        <v/>
      </c>
      <c r="V15" s="227">
        <f>IF($B15="","",IF(AND($U15="Y",OR($C15="3:45 AM",$C15="5:45 AM"),OR('Control Center'!$B$4="N",$K15&lt;&gt;"Y")),"Y","N"))</f>
        <v/>
      </c>
      <c r="W15" s="227">
        <f>IF($B15="","",IF(AND($U15="Y",OR($C15="12:15 PM",$C15="2:00 PM"),OR('Control Center'!$B$5="N",$K15&lt;&gt;"Y")),"Y","N"))</f>
        <v/>
      </c>
      <c r="X15" s="228" t="n"/>
      <c r="Y15" s="229" t="n"/>
      <c r="Z15" s="228" t="n"/>
      <c r="AA15" s="229" t="n"/>
      <c r="AB15" s="230">
        <f>IF($B15="","",IF($P15="Y",IF($Y15="Y","Completed","In Progress"),""))</f>
        <v/>
      </c>
      <c r="AC15" s="119">
        <f>IF($B15="","",IF(COUNTIFS('Approved Absences'!$A$2:$A$200,$B15,'Approved Absences'!$B$2:$B$200,"&lt;="&amp;INT('Control Center'!$B$3),'Approved Absences'!$C$2:$C$200,"&gt;="&amp;INT('Control Center'!$B$3))&gt;0,"Y","N"))</f>
        <v/>
      </c>
      <c r="AD15" s="119">
        <f>IF($B15="","",IF(AND($G15="Y",$AC15&lt;&gt;"Y",ISERROR(SEARCH(TEXT('Control Center'!$B$3,"ddd"),TRIM($D15)))),"Y","N"))</f>
        <v/>
      </c>
      <c r="AE15" s="119">
        <f>IF(AND(AD15="Y",C15="3:45 AM",E15="N",K15&lt;&gt;"Y"),COUNTIFS($AD$2:AD15,"Y",$C$2:C15,"3:45 AM",$E$2:E15,"N",$K$2:K15,"&lt;&gt;Y"),"")</f>
        <v/>
      </c>
      <c r="AF15" s="119">
        <f>IF(AND(AD15="Y",C15="5:45 AM",E15="N",K15&lt;&gt;"Y"),COUNTIFS($AD$2:AD15,"Y",$C$2:C15,"5:45 AM",$E$2:E15,"N",$K$2:K15,"&lt;&gt;Y"),"")</f>
        <v/>
      </c>
      <c r="AG15" s="119">
        <f>IF(AND(AD15="Y",C15="3:45 AM",E15="N",L15="Y",K15&lt;&gt;"Y"),COUNTIFS($AD$2:AD15,"Y",$C$2:C15,"3:45 AM",$E$2:E15,"N",$L$2:L15,"Y",$K$2:K15,"&lt;&gt;Y"),"")</f>
        <v/>
      </c>
      <c r="AH15" s="119">
        <f>IF(AND(AD15="Y",C15="5:45 AM",E15="N",L15="Y",K15&lt;&gt;"Y"),COUNTIFS($AD$2:AD15,"Y",$C$2:C15,"5:45 AM",$E$2:E15,"N",$L$2:L15,"Y",$K$2:K15,"&lt;&gt;Y"),"")</f>
        <v/>
      </c>
      <c r="AI15" s="119">
        <f>IF(AND(AD15="Y",E15="N",K15="Y",OR(C15="3:45 AM",C15="5:45 AM")),SUMPRODUCT(($AD$2:AD15="Y")*($E$2:E15="N")*($K$2:K15="Y")*(($C$2:C15="3:45 AM")+($C$2:C15="5:45 AM"))), "")</f>
        <v/>
      </c>
      <c r="AJ15" s="119">
        <f>IF(AND(AD15="Y",C15="3:45 AM",E15="N",J15="Y"),COUNTIFS($AD$2:AD15,"Y",$C$2:C15,"3:45 AM",$E$2:E15,"N",$J$2:J15,"Y"),"")</f>
        <v/>
      </c>
      <c r="AK15" s="119">
        <f>IF(AND(AD15="Y",E15="N",I15="Y",OR(C15="3:45 AM",C15="5:45 AM")),SUMPRODUCT(($AD$2:AD15="Y")*($E$2:E15="N")*($I$2:I15="Y")*(($C$2:C15="3:45 AM")+($C$2:C15="5:45 AM"))), "")</f>
        <v/>
      </c>
      <c r="AL15" s="119">
        <f>IF(AND(AD15="Y",C15="12:15 PM",E15="N",K15&lt;&gt;"Y"),COUNTIFS($AD$2:AD15,"Y",$C$2:C15,"12:15 PM",$E$2:E15,"N",$K$2:K15,"&lt;&gt;Y"),"")</f>
        <v/>
      </c>
      <c r="AM15" s="119">
        <f>IF(AND(AD15="Y",C15="2:00 PM",E15="N",K15&lt;&gt;"Y"),COUNTIFS($AD$2:AD15,"Y",$C$2:C15,"2:00 PM",$E$2:E15,"N",$K$2:K15,"&lt;&gt;Y"),"")</f>
        <v/>
      </c>
      <c r="AN15" s="119">
        <f>IF(AND(AD15="Y",E15="N",K15="Y",OR(C15="12:15 PM",C15="2:00 PM")),SUMPRODUCT(($AD$2:AD15="Y")*($E$2:E15="N")*($K$2:K15="Y")*(($C$2:C15="12:15 PM")+($C$2:C15="2:00 PM"))), "")</f>
        <v/>
      </c>
      <c r="AO15" s="119">
        <f>IF(AND(AD15="Y",C15="12:15 PM",E15="N",L15="Y"),COUNTIFS($AD$2:AD15,"Y",$C$2:C15,"12:15 PM",$E$2:E15,"N",$L$2:L15,"Y"),"")</f>
        <v/>
      </c>
      <c r="AP15" s="119">
        <f>IF(AND(AD15="Y",C15="2:00 PM",E15="N",L15="Y"),COUNTIFS($AD$2:AD15,"Y",$C$2:C15,"2:00 PM",$E$2:E15,"N",$L$2:L15,"Y"),"")</f>
        <v/>
      </c>
    </row>
    <row r="16" ht="14.25" customHeight="1" s="120">
      <c r="A16" s="231" t="inlineStr">
        <is>
          <t>EMP-0015</t>
        </is>
      </c>
      <c r="B16" s="232" t="inlineStr">
        <is>
          <t>Angella White-Lennon</t>
        </is>
      </c>
      <c r="C16" s="232" t="inlineStr">
        <is>
          <t>12:15 PM</t>
        </is>
      </c>
      <c r="D16" s="232" t="inlineStr">
        <is>
          <t>Sun, Mon</t>
        </is>
      </c>
      <c r="E16" s="232" t="inlineStr">
        <is>
          <t>N</t>
        </is>
      </c>
      <c r="F16" s="232" t="inlineStr">
        <is>
          <t>N</t>
        </is>
      </c>
      <c r="G16" s="232" t="inlineStr">
        <is>
          <t>Y</t>
        </is>
      </c>
      <c r="H16" s="232" t="inlineStr">
        <is>
          <t>5:00 PM</t>
        </is>
      </c>
      <c r="I16" s="232" t="inlineStr">
        <is>
          <t>N</t>
        </is>
      </c>
      <c r="J16" s="232" t="inlineStr">
        <is>
          <t>N</t>
        </is>
      </c>
      <c r="K16" s="232" t="inlineStr">
        <is>
          <t>N</t>
        </is>
      </c>
      <c r="L16" s="232" t="inlineStr">
        <is>
          <t>Y</t>
        </is>
      </c>
      <c r="M16" s="232" t="inlineStr">
        <is>
          <t>Standard</t>
        </is>
      </c>
      <c r="N16" s="232" t="n"/>
      <c r="O16" s="232" t="n"/>
      <c r="P16" s="232" t="inlineStr">
        <is>
          <t>N</t>
        </is>
      </c>
      <c r="Q16" s="232" t="n"/>
      <c r="R16" s="232" t="n"/>
      <c r="S16" s="232" t="n"/>
      <c r="T16" s="233" t="inlineStr">
        <is>
          <t>N</t>
        </is>
      </c>
      <c r="U16" s="227">
        <f>IF($B16="","",IF(AND($G16="Y",ISERROR(SEARCH(TEXT('Control Center'!$B$3,"ddd"),TRIM($D16)))),"Y","N"))</f>
        <v/>
      </c>
      <c r="V16" s="227">
        <f>IF($B16="","",IF(AND($U16="Y",OR($C16="3:45 AM",$C16="5:45 AM"),OR('Control Center'!$B$4="N",$K16&lt;&gt;"Y")),"Y","N"))</f>
        <v/>
      </c>
      <c r="W16" s="227">
        <f>IF($B16="","",IF(AND($U16="Y",OR($C16="12:15 PM",$C16="2:00 PM"),OR('Control Center'!$B$5="N",$K16&lt;&gt;"Y")),"Y","N"))</f>
        <v/>
      </c>
      <c r="X16" s="228" t="n"/>
      <c r="Y16" s="229" t="n"/>
      <c r="Z16" s="228" t="n"/>
      <c r="AA16" s="229" t="n"/>
      <c r="AB16" s="230">
        <f>IF($B16="","",IF($P16="Y",IF($Y16="Y","Completed","In Progress"),""))</f>
        <v/>
      </c>
      <c r="AC16" s="119">
        <f>IF($B16="","",IF(COUNTIFS('Approved Absences'!$A$2:$A$200,$B16,'Approved Absences'!$B$2:$B$200,"&lt;="&amp;INT('Control Center'!$B$3),'Approved Absences'!$C$2:$C$200,"&gt;="&amp;INT('Control Center'!$B$3))&gt;0,"Y","N"))</f>
        <v/>
      </c>
      <c r="AD16" s="119">
        <f>IF($B16="","",IF(AND($G16="Y",$AC16&lt;&gt;"Y",ISERROR(SEARCH(TEXT('Control Center'!$B$3,"ddd"),TRIM($D16)))),"Y","N"))</f>
        <v/>
      </c>
      <c r="AE16" s="119">
        <f>IF(AND(AD16="Y",C16="3:45 AM",E16="N",K16&lt;&gt;"Y"),COUNTIFS($AD$2:AD16,"Y",$C$2:C16,"3:45 AM",$E$2:E16,"N",$K$2:K16,"&lt;&gt;Y"),"")</f>
        <v/>
      </c>
      <c r="AF16" s="119">
        <f>IF(AND(AD16="Y",C16="5:45 AM",E16="N",K16&lt;&gt;"Y"),COUNTIFS($AD$2:AD16,"Y",$C$2:C16,"5:45 AM",$E$2:E16,"N",$K$2:K16,"&lt;&gt;Y"),"")</f>
        <v/>
      </c>
      <c r="AG16" s="119">
        <f>IF(AND(AD16="Y",C16="3:45 AM",E16="N",L16="Y",K16&lt;&gt;"Y"),COUNTIFS($AD$2:AD16,"Y",$C$2:C16,"3:45 AM",$E$2:E16,"N",$L$2:L16,"Y",$K$2:K16,"&lt;&gt;Y"),"")</f>
        <v/>
      </c>
      <c r="AH16" s="119">
        <f>IF(AND(AD16="Y",C16="5:45 AM",E16="N",L16="Y",K16&lt;&gt;"Y"),COUNTIFS($AD$2:AD16,"Y",$C$2:C16,"5:45 AM",$E$2:E16,"N",$L$2:L16,"Y",$K$2:K16,"&lt;&gt;Y"),"")</f>
        <v/>
      </c>
      <c r="AI16" s="119">
        <f>IF(AND(AD16="Y",E16="N",K16="Y",OR(C16="3:45 AM",C16="5:45 AM")),SUMPRODUCT(($AD$2:AD16="Y")*($E$2:E16="N")*($K$2:K16="Y")*(($C$2:C16="3:45 AM")+($C$2:C16="5:45 AM"))), "")</f>
        <v/>
      </c>
      <c r="AJ16" s="119">
        <f>IF(AND(AD16="Y",C16="3:45 AM",E16="N",J16="Y"),COUNTIFS($AD$2:AD16,"Y",$C$2:C16,"3:45 AM",$E$2:E16,"N",$J$2:J16,"Y"),"")</f>
        <v/>
      </c>
      <c r="AK16" s="119">
        <f>IF(AND(AD16="Y",E16="N",I16="Y",OR(C16="3:45 AM",C16="5:45 AM")),SUMPRODUCT(($AD$2:AD16="Y")*($E$2:E16="N")*($I$2:I16="Y")*(($C$2:C16="3:45 AM")+($C$2:C16="5:45 AM"))), "")</f>
        <v/>
      </c>
      <c r="AL16" s="119">
        <f>IF(AND(AD16="Y",C16="12:15 PM",E16="N",K16&lt;&gt;"Y"),COUNTIFS($AD$2:AD16,"Y",$C$2:C16,"12:15 PM",$E$2:E16,"N",$K$2:K16,"&lt;&gt;Y"),"")</f>
        <v/>
      </c>
      <c r="AM16" s="119">
        <f>IF(AND(AD16="Y",C16="2:00 PM",E16="N",K16&lt;&gt;"Y"),COUNTIFS($AD$2:AD16,"Y",$C$2:C16,"2:00 PM",$E$2:E16,"N",$K$2:K16,"&lt;&gt;Y"),"")</f>
        <v/>
      </c>
      <c r="AN16" s="119">
        <f>IF(AND(AD16="Y",E16="N",K16="Y",OR(C16="12:15 PM",C16="2:00 PM")),SUMPRODUCT(($AD$2:AD16="Y")*($E$2:E16="N")*($K$2:K16="Y")*(($C$2:C16="12:15 PM")+($C$2:C16="2:00 PM"))), "")</f>
        <v/>
      </c>
      <c r="AO16" s="119">
        <f>IF(AND(AD16="Y",C16="12:15 PM",E16="N",L16="Y"),COUNTIFS($AD$2:AD16,"Y",$C$2:C16,"12:15 PM",$E$2:E16,"N",$L$2:L16,"Y"),"")</f>
        <v/>
      </c>
      <c r="AP16" s="119">
        <f>IF(AND(AD16="Y",C16="2:00 PM",E16="N",L16="Y"),COUNTIFS($AD$2:AD16,"Y",$C$2:C16,"2:00 PM",$E$2:E16,"N",$L$2:L16,"Y"),"")</f>
        <v/>
      </c>
    </row>
    <row r="17" ht="14.25" customHeight="1" s="120">
      <c r="A17" s="231" t="inlineStr">
        <is>
          <t>EMP-0016</t>
        </is>
      </c>
      <c r="B17" s="232" t="inlineStr">
        <is>
          <t>Ann-marie White</t>
        </is>
      </c>
      <c r="C17" s="232" t="inlineStr">
        <is>
          <t>2:00 PM</t>
        </is>
      </c>
      <c r="D17" s="232" t="inlineStr">
        <is>
          <t>Sun, Mon</t>
        </is>
      </c>
      <c r="E17" s="232" t="inlineStr">
        <is>
          <t>N</t>
        </is>
      </c>
      <c r="F17" s="232" t="inlineStr">
        <is>
          <t>Y</t>
        </is>
      </c>
      <c r="G17" s="232" t="inlineStr">
        <is>
          <t>Y</t>
        </is>
      </c>
      <c r="H17" s="232" t="inlineStr">
        <is>
          <t>7:00 PM</t>
        </is>
      </c>
      <c r="I17" s="232" t="inlineStr">
        <is>
          <t>Y</t>
        </is>
      </c>
      <c r="J17" s="232" t="inlineStr">
        <is>
          <t>Y</t>
        </is>
      </c>
      <c r="K17" s="232" t="inlineStr">
        <is>
          <t>N</t>
        </is>
      </c>
      <c r="L17" s="232" t="inlineStr">
        <is>
          <t>Y</t>
        </is>
      </c>
      <c r="M17" s="232" t="inlineStr">
        <is>
          <t>Standard</t>
        </is>
      </c>
      <c r="N17" s="232" t="n"/>
      <c r="O17" s="232" t="n"/>
      <c r="P17" s="232" t="inlineStr">
        <is>
          <t>N</t>
        </is>
      </c>
      <c r="Q17" s="232" t="n"/>
      <c r="R17" s="232" t="n"/>
      <c r="S17" s="232" t="n"/>
      <c r="T17" s="233" t="inlineStr">
        <is>
          <t>N</t>
        </is>
      </c>
      <c r="U17" s="227">
        <f>IF($B17="","",IF(AND($G17="Y",ISERROR(SEARCH(TEXT('Control Center'!$B$3,"ddd"),TRIM($D17)))),"Y","N"))</f>
        <v/>
      </c>
      <c r="V17" s="227">
        <f>IF($B17="","",IF(AND($U17="Y",OR($C17="3:45 AM",$C17="5:45 AM"),OR('Control Center'!$B$4="N",$K17&lt;&gt;"Y")),"Y","N"))</f>
        <v/>
      </c>
      <c r="W17" s="227">
        <f>IF($B17="","",IF(AND($U17="Y",OR($C17="12:15 PM",$C17="2:00 PM"),OR('Control Center'!$B$5="N",$K17&lt;&gt;"Y")),"Y","N"))</f>
        <v/>
      </c>
      <c r="X17" s="228" t="n"/>
      <c r="Y17" s="229" t="n"/>
      <c r="Z17" s="228" t="n"/>
      <c r="AA17" s="229" t="n"/>
      <c r="AB17" s="230">
        <f>IF($B17="","",IF($P17="Y",IF($Y17="Y","Completed","In Progress"),""))</f>
        <v/>
      </c>
      <c r="AC17" s="119">
        <f>IF($B17="","",IF(COUNTIFS('Approved Absences'!$A$2:$A$200,$B17,'Approved Absences'!$B$2:$B$200,"&lt;="&amp;INT('Control Center'!$B$3),'Approved Absences'!$C$2:$C$200,"&gt;="&amp;INT('Control Center'!$B$3))&gt;0,"Y","N"))</f>
        <v/>
      </c>
      <c r="AD17" s="119">
        <f>IF($B17="","",IF(AND($G17="Y",$AC17&lt;&gt;"Y",ISERROR(SEARCH(TEXT('Control Center'!$B$3,"ddd"),TRIM($D17)))),"Y","N"))</f>
        <v/>
      </c>
      <c r="AE17" s="119">
        <f>IF(AND(AD17="Y",C17="3:45 AM",E17="N",K17&lt;&gt;"Y"),COUNTIFS($AD$2:AD17,"Y",$C$2:C17,"3:45 AM",$E$2:E17,"N",$K$2:K17,"&lt;&gt;Y"),"")</f>
        <v/>
      </c>
      <c r="AF17" s="119">
        <f>IF(AND(AD17="Y",C17="5:45 AM",E17="N",K17&lt;&gt;"Y"),COUNTIFS($AD$2:AD17,"Y",$C$2:C17,"5:45 AM",$E$2:E17,"N",$K$2:K17,"&lt;&gt;Y"),"")</f>
        <v/>
      </c>
      <c r="AG17" s="119">
        <f>IF(AND(AD17="Y",C17="3:45 AM",E17="N",L17="Y",K17&lt;&gt;"Y"),COUNTIFS($AD$2:AD17,"Y",$C$2:C17,"3:45 AM",$E$2:E17,"N",$L$2:L17,"Y",$K$2:K17,"&lt;&gt;Y"),"")</f>
        <v/>
      </c>
      <c r="AH17" s="119">
        <f>IF(AND(AD17="Y",C17="5:45 AM",E17="N",L17="Y",K17&lt;&gt;"Y"),COUNTIFS($AD$2:AD17,"Y",$C$2:C17,"5:45 AM",$E$2:E17,"N",$L$2:L17,"Y",$K$2:K17,"&lt;&gt;Y"),"")</f>
        <v/>
      </c>
      <c r="AI17" s="119">
        <f>IF(AND(AD17="Y",E17="N",K17="Y",OR(C17="3:45 AM",C17="5:45 AM")),SUMPRODUCT(($AD$2:AD17="Y")*($E$2:E17="N")*($K$2:K17="Y")*(($C$2:C17="3:45 AM")+($C$2:C17="5:45 AM"))), "")</f>
        <v/>
      </c>
      <c r="AJ17" s="119">
        <f>IF(AND(AD17="Y",C17="3:45 AM",E17="N",J17="Y"),COUNTIFS($AD$2:AD17,"Y",$C$2:C17,"3:45 AM",$E$2:E17,"N",$J$2:J17,"Y"),"")</f>
        <v/>
      </c>
      <c r="AK17" s="119">
        <f>IF(AND(AD17="Y",E17="N",I17="Y",OR(C17="3:45 AM",C17="5:45 AM")),SUMPRODUCT(($AD$2:AD17="Y")*($E$2:E17="N")*($I$2:I17="Y")*(($C$2:C17="3:45 AM")+($C$2:C17="5:45 AM"))), "")</f>
        <v/>
      </c>
      <c r="AL17" s="119">
        <f>IF(AND(AD17="Y",C17="12:15 PM",E17="N",K17&lt;&gt;"Y"),COUNTIFS($AD$2:AD17,"Y",$C$2:C17,"12:15 PM",$E$2:E17,"N",$K$2:K17,"&lt;&gt;Y"),"")</f>
        <v/>
      </c>
      <c r="AM17" s="119">
        <f>IF(AND(AD17="Y",C17="2:00 PM",E17="N",K17&lt;&gt;"Y"),COUNTIFS($AD$2:AD17,"Y",$C$2:C17,"2:00 PM",$E$2:E17,"N",$K$2:K17,"&lt;&gt;Y"),"")</f>
        <v/>
      </c>
      <c r="AN17" s="119">
        <f>IF(AND(AD17="Y",E17="N",K17="Y",OR(C17="12:15 PM",C17="2:00 PM")),SUMPRODUCT(($AD$2:AD17="Y")*($E$2:E17="N")*($K$2:K17="Y")*(($C$2:C17="12:15 PM")+($C$2:C17="2:00 PM"))), "")</f>
        <v/>
      </c>
      <c r="AO17" s="119">
        <f>IF(AND(AD17="Y",C17="12:15 PM",E17="N",L17="Y"),COUNTIFS($AD$2:AD17,"Y",$C$2:C17,"12:15 PM",$E$2:E17,"N",$L$2:L17,"Y"),"")</f>
        <v/>
      </c>
      <c r="AP17" s="119">
        <f>IF(AND(AD17="Y",C17="2:00 PM",E17="N",L17="Y"),COUNTIFS($AD$2:AD17,"Y",$C$2:C17,"2:00 PM",$E$2:E17,"N",$L$2:L17,"Y"),"")</f>
        <v/>
      </c>
    </row>
    <row r="18" ht="14.25" customHeight="1" s="120">
      <c r="A18" s="231" t="inlineStr">
        <is>
          <t>EMP-0017</t>
        </is>
      </c>
      <c r="B18" s="232" t="inlineStr">
        <is>
          <t>Anthony Fernandez</t>
        </is>
      </c>
      <c r="C18" s="232" t="inlineStr">
        <is>
          <t>12:15 PM</t>
        </is>
      </c>
      <c r="D18" s="232" t="inlineStr">
        <is>
          <t>Sun, Mon</t>
        </is>
      </c>
      <c r="E18" s="232" t="inlineStr">
        <is>
          <t>N</t>
        </is>
      </c>
      <c r="F18" s="232" t="inlineStr">
        <is>
          <t>N</t>
        </is>
      </c>
      <c r="G18" s="232" t="inlineStr">
        <is>
          <t>Y</t>
        </is>
      </c>
      <c r="H18" s="232" t="inlineStr">
        <is>
          <t>None</t>
        </is>
      </c>
      <c r="I18" s="232" t="inlineStr">
        <is>
          <t>N</t>
        </is>
      </c>
      <c r="J18" s="232" t="inlineStr">
        <is>
          <t>N</t>
        </is>
      </c>
      <c r="K18" s="232" t="inlineStr">
        <is>
          <t>N</t>
        </is>
      </c>
      <c r="L18" s="232" t="inlineStr">
        <is>
          <t>Y</t>
        </is>
      </c>
      <c r="M18" s="232" t="inlineStr">
        <is>
          <t>Standard</t>
        </is>
      </c>
      <c r="N18" s="232" t="n"/>
      <c r="O18" s="232" t="n"/>
      <c r="P18" s="232" t="inlineStr">
        <is>
          <t>N</t>
        </is>
      </c>
      <c r="Q18" s="232" t="n"/>
      <c r="R18" s="232" t="n"/>
      <c r="S18" s="232" t="n"/>
      <c r="T18" s="233" t="inlineStr">
        <is>
          <t>N</t>
        </is>
      </c>
      <c r="U18" s="227">
        <f>IF($B18="","",IF(AND($G18="Y",ISERROR(SEARCH(TEXT('Control Center'!$B$3,"ddd"),TRIM($D18)))),"Y","N"))</f>
        <v/>
      </c>
      <c r="V18" s="227">
        <f>IF($B18="","",IF(AND($U18="Y",OR($C18="3:45 AM",$C18="5:45 AM"),OR('Control Center'!$B$4="N",$K18&lt;&gt;"Y")),"Y","N"))</f>
        <v/>
      </c>
      <c r="W18" s="227">
        <f>IF($B18="","",IF(AND($U18="Y",OR($C18="12:15 PM",$C18="2:00 PM"),OR('Control Center'!$B$5="N",$K18&lt;&gt;"Y")),"Y","N"))</f>
        <v/>
      </c>
      <c r="X18" s="228" t="n"/>
      <c r="Y18" s="229" t="n"/>
      <c r="Z18" s="228" t="n"/>
      <c r="AA18" s="229" t="n"/>
      <c r="AB18" s="230">
        <f>IF($B18="","",IF($P18="Y",IF($Y18="Y","Completed","In Progress"),""))</f>
        <v/>
      </c>
      <c r="AC18" s="119">
        <f>IF($B18="","",IF(COUNTIFS('Approved Absences'!$A$2:$A$200,$B18,'Approved Absences'!$B$2:$B$200,"&lt;="&amp;INT('Control Center'!$B$3),'Approved Absences'!$C$2:$C$200,"&gt;="&amp;INT('Control Center'!$B$3))&gt;0,"Y","N"))</f>
        <v/>
      </c>
      <c r="AD18" s="119">
        <f>IF($B18="","",IF(AND($G18="Y",$AC18&lt;&gt;"Y",ISERROR(SEARCH(TEXT('Control Center'!$B$3,"ddd"),TRIM($D18)))),"Y","N"))</f>
        <v/>
      </c>
      <c r="AE18" s="119">
        <f>IF(AND(AD18="Y",C18="3:45 AM",E18="N",K18&lt;&gt;"Y"),COUNTIFS($AD$2:AD18,"Y",$C$2:C18,"3:45 AM",$E$2:E18,"N",$K$2:K18,"&lt;&gt;Y"),"")</f>
        <v/>
      </c>
      <c r="AF18" s="119">
        <f>IF(AND(AD18="Y",C18="5:45 AM",E18="N",K18&lt;&gt;"Y"),COUNTIFS($AD$2:AD18,"Y",$C$2:C18,"5:45 AM",$E$2:E18,"N",$K$2:K18,"&lt;&gt;Y"),"")</f>
        <v/>
      </c>
      <c r="AG18" s="119">
        <f>IF(AND(AD18="Y",C18="3:45 AM",E18="N",L18="Y",K18&lt;&gt;"Y"),COUNTIFS($AD$2:AD18,"Y",$C$2:C18,"3:45 AM",$E$2:E18,"N",$L$2:L18,"Y",$K$2:K18,"&lt;&gt;Y"),"")</f>
        <v/>
      </c>
      <c r="AH18" s="119">
        <f>IF(AND(AD18="Y",C18="5:45 AM",E18="N",L18="Y",K18&lt;&gt;"Y"),COUNTIFS($AD$2:AD18,"Y",$C$2:C18,"5:45 AM",$E$2:E18,"N",$L$2:L18,"Y",$K$2:K18,"&lt;&gt;Y"),"")</f>
        <v/>
      </c>
      <c r="AI18" s="119">
        <f>IF(AND(AD18="Y",E18="N",K18="Y",OR(C18="3:45 AM",C18="5:45 AM")),SUMPRODUCT(($AD$2:AD18="Y")*($E$2:E18="N")*($K$2:K18="Y")*(($C$2:C18="3:45 AM")+($C$2:C18="5:45 AM"))), "")</f>
        <v/>
      </c>
      <c r="AJ18" s="119">
        <f>IF(AND(AD18="Y",C18="3:45 AM",E18="N",J18="Y"),COUNTIFS($AD$2:AD18,"Y",$C$2:C18,"3:45 AM",$E$2:E18,"N",$J$2:J18,"Y"),"")</f>
        <v/>
      </c>
      <c r="AK18" s="119">
        <f>IF(AND(AD18="Y",E18="N",I18="Y",OR(C18="3:45 AM",C18="5:45 AM")),SUMPRODUCT(($AD$2:AD18="Y")*($E$2:E18="N")*($I$2:I18="Y")*(($C$2:C18="3:45 AM")+($C$2:C18="5:45 AM"))), "")</f>
        <v/>
      </c>
      <c r="AL18" s="119">
        <f>IF(AND(AD18="Y",C18="12:15 PM",E18="N",K18&lt;&gt;"Y"),COUNTIFS($AD$2:AD18,"Y",$C$2:C18,"12:15 PM",$E$2:E18,"N",$K$2:K18,"&lt;&gt;Y"),"")</f>
        <v/>
      </c>
      <c r="AM18" s="119">
        <f>IF(AND(AD18="Y",C18="2:00 PM",E18="N",K18&lt;&gt;"Y"),COUNTIFS($AD$2:AD18,"Y",$C$2:C18,"2:00 PM",$E$2:E18,"N",$K$2:K18,"&lt;&gt;Y"),"")</f>
        <v/>
      </c>
      <c r="AN18" s="119">
        <f>IF(AND(AD18="Y",E18="N",K18="Y",OR(C18="12:15 PM",C18="2:00 PM")),SUMPRODUCT(($AD$2:AD18="Y")*($E$2:E18="N")*($K$2:K18="Y")*(($C$2:C18="12:15 PM")+($C$2:C18="2:00 PM"))), "")</f>
        <v/>
      </c>
      <c r="AO18" s="119">
        <f>IF(AND(AD18="Y",C18="12:15 PM",E18="N",L18="Y"),COUNTIFS($AD$2:AD18,"Y",$C$2:C18,"12:15 PM",$E$2:E18,"N",$L$2:L18,"Y"),"")</f>
        <v/>
      </c>
      <c r="AP18" s="119">
        <f>IF(AND(AD18="Y",C18="2:00 PM",E18="N",L18="Y"),COUNTIFS($AD$2:AD18,"Y",$C$2:C18,"2:00 PM",$E$2:E18,"N",$L$2:L18,"Y"),"")</f>
        <v/>
      </c>
    </row>
    <row r="19" ht="14.25" customHeight="1" s="120">
      <c r="A19" s="231" t="inlineStr">
        <is>
          <t>EMP-0018</t>
        </is>
      </c>
      <c r="B19" s="232" t="inlineStr">
        <is>
          <t>Ashia Norman</t>
        </is>
      </c>
      <c r="C19" s="232" t="inlineStr">
        <is>
          <t>5:45 AM</t>
        </is>
      </c>
      <c r="D19" s="232" t="inlineStr">
        <is>
          <t>Wed, Thu</t>
        </is>
      </c>
      <c r="E19" s="232" t="inlineStr">
        <is>
          <t>N</t>
        </is>
      </c>
      <c r="F19" s="232" t="inlineStr">
        <is>
          <t>N</t>
        </is>
      </c>
      <c r="G19" s="232" t="inlineStr">
        <is>
          <t>Y</t>
        </is>
      </c>
      <c r="H19" s="232" t="inlineStr">
        <is>
          <t>None</t>
        </is>
      </c>
      <c r="I19" s="232" t="inlineStr">
        <is>
          <t>N</t>
        </is>
      </c>
      <c r="J19" s="232" t="inlineStr">
        <is>
          <t>N</t>
        </is>
      </c>
      <c r="K19" s="232" t="inlineStr">
        <is>
          <t>N</t>
        </is>
      </c>
      <c r="L19" s="232" t="inlineStr">
        <is>
          <t>Y</t>
        </is>
      </c>
      <c r="M19" s="232" t="inlineStr">
        <is>
          <t>Standard</t>
        </is>
      </c>
      <c r="N19" s="232" t="n"/>
      <c r="O19" s="232" t="n"/>
      <c r="P19" s="232" t="inlineStr">
        <is>
          <t>N</t>
        </is>
      </c>
      <c r="Q19" s="232" t="n"/>
      <c r="R19" s="232" t="n"/>
      <c r="S19" s="232" t="n"/>
      <c r="T19" s="233" t="inlineStr">
        <is>
          <t>N</t>
        </is>
      </c>
      <c r="U19" s="227">
        <f>IF($B19="","",IF(AND($G19="Y",ISERROR(SEARCH(TEXT('Control Center'!$B$3,"ddd"),TRIM($D19)))),"Y","N"))</f>
        <v/>
      </c>
      <c r="V19" s="227">
        <f>IF($B19="","",IF(AND($U19="Y",OR($C19="3:45 AM",$C19="5:45 AM"),OR('Control Center'!$B$4="N",$K19&lt;&gt;"Y")),"Y","N"))</f>
        <v/>
      </c>
      <c r="W19" s="227">
        <f>IF($B19="","",IF(AND($U19="Y",OR($C19="12:15 PM",$C19="2:00 PM"),OR('Control Center'!$B$5="N",$K19&lt;&gt;"Y")),"Y","N"))</f>
        <v/>
      </c>
      <c r="X19" s="228" t="n"/>
      <c r="Y19" s="229" t="n"/>
      <c r="Z19" s="228" t="n"/>
      <c r="AA19" s="229" t="n"/>
      <c r="AB19" s="230">
        <f>IF($B19="","",IF($P19="Y",IF($Y19="Y","Completed","In Progress"),""))</f>
        <v/>
      </c>
      <c r="AC19" s="119">
        <f>IF($B19="","",IF(COUNTIFS('Approved Absences'!$A$2:$A$200,$B19,'Approved Absences'!$B$2:$B$200,"&lt;="&amp;INT('Control Center'!$B$3),'Approved Absences'!$C$2:$C$200,"&gt;="&amp;INT('Control Center'!$B$3))&gt;0,"Y","N"))</f>
        <v/>
      </c>
      <c r="AD19" s="119">
        <f>IF($B19="","",IF(AND($G19="Y",$AC19&lt;&gt;"Y",ISERROR(SEARCH(TEXT('Control Center'!$B$3,"ddd"),TRIM($D19)))),"Y","N"))</f>
        <v/>
      </c>
      <c r="AE19" s="119">
        <f>IF(AND(AD19="Y",C19="3:45 AM",E19="N",K19&lt;&gt;"Y"),COUNTIFS($AD$2:AD19,"Y",$C$2:C19,"3:45 AM",$E$2:E19,"N",$K$2:K19,"&lt;&gt;Y"),"")</f>
        <v/>
      </c>
      <c r="AF19" s="119">
        <f>IF(AND(AD19="Y",C19="5:45 AM",E19="N",K19&lt;&gt;"Y"),COUNTIFS($AD$2:AD19,"Y",$C$2:C19,"5:45 AM",$E$2:E19,"N",$K$2:K19,"&lt;&gt;Y"),"")</f>
        <v/>
      </c>
      <c r="AG19" s="119">
        <f>IF(AND(AD19="Y",C19="3:45 AM",E19="N",L19="Y",K19&lt;&gt;"Y"),COUNTIFS($AD$2:AD19,"Y",$C$2:C19,"3:45 AM",$E$2:E19,"N",$L$2:L19,"Y",$K$2:K19,"&lt;&gt;Y"),"")</f>
        <v/>
      </c>
      <c r="AH19" s="119">
        <f>IF(AND(AD19="Y",C19="5:45 AM",E19="N",L19="Y",K19&lt;&gt;"Y"),COUNTIFS($AD$2:AD19,"Y",$C$2:C19,"5:45 AM",$E$2:E19,"N",$L$2:L19,"Y",$K$2:K19,"&lt;&gt;Y"),"")</f>
        <v/>
      </c>
      <c r="AI19" s="119">
        <f>IF(AND(AD19="Y",E19="N",K19="Y",OR(C19="3:45 AM",C19="5:45 AM")),SUMPRODUCT(($AD$2:AD19="Y")*($E$2:E19="N")*($K$2:K19="Y")*(($C$2:C19="3:45 AM")+($C$2:C19="5:45 AM"))), "")</f>
        <v/>
      </c>
      <c r="AJ19" s="119">
        <f>IF(AND(AD19="Y",C19="3:45 AM",E19="N",J19="Y"),COUNTIFS($AD$2:AD19,"Y",$C$2:C19,"3:45 AM",$E$2:E19,"N",$J$2:J19,"Y"),"")</f>
        <v/>
      </c>
      <c r="AK19" s="119">
        <f>IF(AND(AD19="Y",E19="N",I19="Y",OR(C19="3:45 AM",C19="5:45 AM")),SUMPRODUCT(($AD$2:AD19="Y")*($E$2:E19="N")*($I$2:I19="Y")*(($C$2:C19="3:45 AM")+($C$2:C19="5:45 AM"))), "")</f>
        <v/>
      </c>
      <c r="AL19" s="119">
        <f>IF(AND(AD19="Y",C19="12:15 PM",E19="N",K19&lt;&gt;"Y"),COUNTIFS($AD$2:AD19,"Y",$C$2:C19,"12:15 PM",$E$2:E19,"N",$K$2:K19,"&lt;&gt;Y"),"")</f>
        <v/>
      </c>
      <c r="AM19" s="119">
        <f>IF(AND(AD19="Y",C19="2:00 PM",E19="N",K19&lt;&gt;"Y"),COUNTIFS($AD$2:AD19,"Y",$C$2:C19,"2:00 PM",$E$2:E19,"N",$K$2:K19,"&lt;&gt;Y"),"")</f>
        <v/>
      </c>
      <c r="AN19" s="119">
        <f>IF(AND(AD19="Y",E19="N",K19="Y",OR(C19="12:15 PM",C19="2:00 PM")),SUMPRODUCT(($AD$2:AD19="Y")*($E$2:E19="N")*($K$2:K19="Y")*(($C$2:C19="12:15 PM")+($C$2:C19="2:00 PM"))), "")</f>
        <v/>
      </c>
      <c r="AO19" s="119">
        <f>IF(AND(AD19="Y",C19="12:15 PM",E19="N",L19="Y"),COUNTIFS($AD$2:AD19,"Y",$C$2:C19,"12:15 PM",$E$2:E19,"N",$L$2:L19,"Y"),"")</f>
        <v/>
      </c>
      <c r="AP19" s="119">
        <f>IF(AND(AD19="Y",C19="2:00 PM",E19="N",L19="Y"),COUNTIFS($AD$2:AD19,"Y",$C$2:C19,"2:00 PM",$E$2:E19,"N",$L$2:L19,"Y"),"")</f>
        <v/>
      </c>
    </row>
    <row r="20" ht="14.25" customHeight="1" s="120">
      <c r="A20" s="231" t="inlineStr">
        <is>
          <t>EMP-0019</t>
        </is>
      </c>
      <c r="B20" s="232" t="inlineStr">
        <is>
          <t>Ashley Lazenby</t>
        </is>
      </c>
      <c r="C20" s="232" t="inlineStr">
        <is>
          <t>2:00 PM</t>
        </is>
      </c>
      <c r="D20" s="232" t="inlineStr">
        <is>
          <t>Wed, Thu</t>
        </is>
      </c>
      <c r="E20" s="232" t="inlineStr">
        <is>
          <t>N</t>
        </is>
      </c>
      <c r="F20" s="232" t="inlineStr">
        <is>
          <t>Y</t>
        </is>
      </c>
      <c r="G20" s="232" t="inlineStr">
        <is>
          <t>Y</t>
        </is>
      </c>
      <c r="H20" s="232" t="inlineStr">
        <is>
          <t>None</t>
        </is>
      </c>
      <c r="I20" s="232" t="inlineStr">
        <is>
          <t>N</t>
        </is>
      </c>
      <c r="J20" s="232" t="inlineStr">
        <is>
          <t>Y</t>
        </is>
      </c>
      <c r="K20" s="232" t="inlineStr">
        <is>
          <t>N</t>
        </is>
      </c>
      <c r="L20" s="232" t="inlineStr">
        <is>
          <t>Y</t>
        </is>
      </c>
      <c r="M20" s="232" t="inlineStr">
        <is>
          <t>Standard</t>
        </is>
      </c>
      <c r="N20" s="232" t="n"/>
      <c r="O20" s="232" t="n"/>
      <c r="P20" s="232" t="inlineStr">
        <is>
          <t>N</t>
        </is>
      </c>
      <c r="Q20" s="232" t="n"/>
      <c r="R20" s="232" t="n"/>
      <c r="S20" s="232" t="n"/>
      <c r="T20" s="233" t="inlineStr">
        <is>
          <t>N</t>
        </is>
      </c>
      <c r="U20" s="227">
        <f>IF($B20="","",IF(AND($G20="Y",ISERROR(SEARCH(TEXT('Control Center'!$B$3,"ddd"),TRIM($D20)))),"Y","N"))</f>
        <v/>
      </c>
      <c r="V20" s="227">
        <f>IF($B20="","",IF(AND($U20="Y",OR($C20="3:45 AM",$C20="5:45 AM"),OR('Control Center'!$B$4="N",$K20&lt;&gt;"Y")),"Y","N"))</f>
        <v/>
      </c>
      <c r="W20" s="227">
        <f>IF($B20="","",IF(AND($U20="Y",OR($C20="12:15 PM",$C20="2:00 PM"),OR('Control Center'!$B$5="N",$K20&lt;&gt;"Y")),"Y","N"))</f>
        <v/>
      </c>
      <c r="X20" s="228" t="n"/>
      <c r="Y20" s="229" t="n"/>
      <c r="Z20" s="228" t="n"/>
      <c r="AA20" s="229" t="n"/>
      <c r="AB20" s="230">
        <f>IF($B20="","",IF($P20="Y",IF($Y20="Y","Completed","In Progress"),""))</f>
        <v/>
      </c>
      <c r="AC20" s="119">
        <f>IF($B20="","",IF(COUNTIFS('Approved Absences'!$A$2:$A$200,$B20,'Approved Absences'!$B$2:$B$200,"&lt;="&amp;INT('Control Center'!$B$3),'Approved Absences'!$C$2:$C$200,"&gt;="&amp;INT('Control Center'!$B$3))&gt;0,"Y","N"))</f>
        <v/>
      </c>
      <c r="AD20" s="119">
        <f>IF($B20="","",IF(AND($G20="Y",$AC20&lt;&gt;"Y",ISERROR(SEARCH(TEXT('Control Center'!$B$3,"ddd"),TRIM($D20)))),"Y","N"))</f>
        <v/>
      </c>
      <c r="AE20" s="119">
        <f>IF(AND(AD20="Y",C20="3:45 AM",E20="N",K20&lt;&gt;"Y"),COUNTIFS($AD$2:AD20,"Y",$C$2:C20,"3:45 AM",$E$2:E20,"N",$K$2:K20,"&lt;&gt;Y"),"")</f>
        <v/>
      </c>
      <c r="AF20" s="119">
        <f>IF(AND(AD20="Y",C20="5:45 AM",E20="N",K20&lt;&gt;"Y"),COUNTIFS($AD$2:AD20,"Y",$C$2:C20,"5:45 AM",$E$2:E20,"N",$K$2:K20,"&lt;&gt;Y"),"")</f>
        <v/>
      </c>
      <c r="AG20" s="119">
        <f>IF(AND(AD20="Y",C20="3:45 AM",E20="N",L20="Y",K20&lt;&gt;"Y"),COUNTIFS($AD$2:AD20,"Y",$C$2:C20,"3:45 AM",$E$2:E20,"N",$L$2:L20,"Y",$K$2:K20,"&lt;&gt;Y"),"")</f>
        <v/>
      </c>
      <c r="AH20" s="119">
        <f>IF(AND(AD20="Y",C20="5:45 AM",E20="N",L20="Y",K20&lt;&gt;"Y"),COUNTIFS($AD$2:AD20,"Y",$C$2:C20,"5:45 AM",$E$2:E20,"N",$L$2:L20,"Y",$K$2:K20,"&lt;&gt;Y"),"")</f>
        <v/>
      </c>
      <c r="AI20" s="119">
        <f>IF(AND(AD20="Y",E20="N",K20="Y",OR(C20="3:45 AM",C20="5:45 AM")),SUMPRODUCT(($AD$2:AD20="Y")*($E$2:E20="N")*($K$2:K20="Y")*(($C$2:C20="3:45 AM")+($C$2:C20="5:45 AM"))), "")</f>
        <v/>
      </c>
      <c r="AJ20" s="119">
        <f>IF(AND(AD20="Y",C20="3:45 AM",E20="N",J20="Y"),COUNTIFS($AD$2:AD20,"Y",$C$2:C20,"3:45 AM",$E$2:E20,"N",$J$2:J20,"Y"),"")</f>
        <v/>
      </c>
      <c r="AK20" s="119">
        <f>IF(AND(AD20="Y",E20="N",I20="Y",OR(C20="3:45 AM",C20="5:45 AM")),SUMPRODUCT(($AD$2:AD20="Y")*($E$2:E20="N")*($I$2:I20="Y")*(($C$2:C20="3:45 AM")+($C$2:C20="5:45 AM"))), "")</f>
        <v/>
      </c>
      <c r="AL20" s="119">
        <f>IF(AND(AD20="Y",C20="12:15 PM",E20="N",K20&lt;&gt;"Y"),COUNTIFS($AD$2:AD20,"Y",$C$2:C20,"12:15 PM",$E$2:E20,"N",$K$2:K20,"&lt;&gt;Y"),"")</f>
        <v/>
      </c>
      <c r="AM20" s="119">
        <f>IF(AND(AD20="Y",C20="2:00 PM",E20="N",K20&lt;&gt;"Y"),COUNTIFS($AD$2:AD20,"Y",$C$2:C20,"2:00 PM",$E$2:E20,"N",$K$2:K20,"&lt;&gt;Y"),"")</f>
        <v/>
      </c>
      <c r="AN20" s="119">
        <f>IF(AND(AD20="Y",E20="N",K20="Y",OR(C20="12:15 PM",C20="2:00 PM")),SUMPRODUCT(($AD$2:AD20="Y")*($E$2:E20="N")*($K$2:K20="Y")*(($C$2:C20="12:15 PM")+($C$2:C20="2:00 PM"))), "")</f>
        <v/>
      </c>
      <c r="AO20" s="119">
        <f>IF(AND(AD20="Y",C20="12:15 PM",E20="N",L20="Y"),COUNTIFS($AD$2:AD20,"Y",$C$2:C20,"12:15 PM",$E$2:E20,"N",$L$2:L20,"Y"),"")</f>
        <v/>
      </c>
      <c r="AP20" s="119">
        <f>IF(AND(AD20="Y",C20="2:00 PM",E20="N",L20="Y"),COUNTIFS($AD$2:AD20,"Y",$C$2:C20,"2:00 PM",$E$2:E20,"N",$L$2:L20,"Y"),"")</f>
        <v/>
      </c>
    </row>
    <row r="21" ht="14.25" customHeight="1" s="120">
      <c r="A21" s="231" t="inlineStr">
        <is>
          <t>EMP-0020</t>
        </is>
      </c>
      <c r="B21" s="232" t="inlineStr">
        <is>
          <t>Ashtin Keys</t>
        </is>
      </c>
      <c r="C21" s="232" t="inlineStr">
        <is>
          <t>9:15 PM</t>
        </is>
      </c>
      <c r="D21" s="232" t="inlineStr">
        <is>
          <t>Sat, Sun</t>
        </is>
      </c>
      <c r="E21" s="232" t="inlineStr">
        <is>
          <t>N</t>
        </is>
      </c>
      <c r="F21" s="232" t="inlineStr">
        <is>
          <t>N</t>
        </is>
      </c>
      <c r="G21" s="232" t="inlineStr">
        <is>
          <t>Y</t>
        </is>
      </c>
      <c r="H21" s="232" t="inlineStr">
        <is>
          <t>None</t>
        </is>
      </c>
      <c r="I21" s="232" t="inlineStr">
        <is>
          <t>N</t>
        </is>
      </c>
      <c r="J21" s="232" t="inlineStr">
        <is>
          <t>N</t>
        </is>
      </c>
      <c r="K21" s="232" t="inlineStr">
        <is>
          <t>N</t>
        </is>
      </c>
      <c r="L21" s="232" t="inlineStr">
        <is>
          <t>Y</t>
        </is>
      </c>
      <c r="M21" s="232" t="inlineStr">
        <is>
          <t>Standard</t>
        </is>
      </c>
      <c r="N21" s="232" t="n"/>
      <c r="O21" s="232" t="n"/>
      <c r="P21" s="232" t="inlineStr">
        <is>
          <t>N</t>
        </is>
      </c>
      <c r="Q21" s="232" t="n"/>
      <c r="R21" s="232" t="n"/>
      <c r="S21" s="232" t="n"/>
      <c r="T21" s="233" t="inlineStr">
        <is>
          <t>N</t>
        </is>
      </c>
      <c r="U21" s="227">
        <f>IF($B21="","",IF(AND($G21="Y",ISERROR(SEARCH(TEXT('Control Center'!$B$3,"ddd"),TRIM($D21)))),"Y","N"))</f>
        <v/>
      </c>
      <c r="V21" s="227">
        <f>IF($B21="","",IF(AND($U21="Y",OR($C21="3:45 AM",$C21="5:45 AM"),OR('Control Center'!$B$4="N",$K21&lt;&gt;"Y")),"Y","N"))</f>
        <v/>
      </c>
      <c r="W21" s="227">
        <f>IF($B21="","",IF(AND($U21="Y",OR($C21="12:15 PM",$C21="2:00 PM"),OR('Control Center'!$B$5="N",$K21&lt;&gt;"Y")),"Y","N"))</f>
        <v/>
      </c>
      <c r="X21" s="228" t="n"/>
      <c r="Y21" s="229" t="n"/>
      <c r="Z21" s="228" t="n"/>
      <c r="AA21" s="229" t="n"/>
      <c r="AB21" s="230">
        <f>IF($B21="","",IF($P21="Y",IF($Y21="Y","Completed","In Progress"),""))</f>
        <v/>
      </c>
      <c r="AC21" s="119">
        <f>IF($B21="","",IF(COUNTIFS('Approved Absences'!$A$2:$A$200,$B21,'Approved Absences'!$B$2:$B$200,"&lt;="&amp;INT('Control Center'!$B$3),'Approved Absences'!$C$2:$C$200,"&gt;="&amp;INT('Control Center'!$B$3))&gt;0,"Y","N"))</f>
        <v/>
      </c>
      <c r="AD21" s="119">
        <f>IF($B21="","",IF(AND($G21="Y",$AC21&lt;&gt;"Y",ISERROR(SEARCH(TEXT('Control Center'!$B$3,"ddd"),TRIM($D21)))),"Y","N"))</f>
        <v/>
      </c>
      <c r="AE21" s="119">
        <f>IF(AND(AD21="Y",C21="3:45 AM",E21="N",K21&lt;&gt;"Y"),COUNTIFS($AD$2:AD21,"Y",$C$2:C21,"3:45 AM",$E$2:E21,"N",$K$2:K21,"&lt;&gt;Y"),"")</f>
        <v/>
      </c>
      <c r="AF21" s="119">
        <f>IF(AND(AD21="Y",C21="5:45 AM",E21="N",K21&lt;&gt;"Y"),COUNTIFS($AD$2:AD21,"Y",$C$2:C21,"5:45 AM",$E$2:E21,"N",$K$2:K21,"&lt;&gt;Y"),"")</f>
        <v/>
      </c>
      <c r="AG21" s="119">
        <f>IF(AND(AD21="Y",C21="3:45 AM",E21="N",L21="Y",K21&lt;&gt;"Y"),COUNTIFS($AD$2:AD21,"Y",$C$2:C21,"3:45 AM",$E$2:E21,"N",$L$2:L21,"Y",$K$2:K21,"&lt;&gt;Y"),"")</f>
        <v/>
      </c>
      <c r="AH21" s="119">
        <f>IF(AND(AD21="Y",C21="5:45 AM",E21="N",L21="Y",K21&lt;&gt;"Y"),COUNTIFS($AD$2:AD21,"Y",$C$2:C21,"5:45 AM",$E$2:E21,"N",$L$2:L21,"Y",$K$2:K21,"&lt;&gt;Y"),"")</f>
        <v/>
      </c>
      <c r="AI21" s="119">
        <f>IF(AND(AD21="Y",E21="N",K21="Y",OR(C21="3:45 AM",C21="5:45 AM")),SUMPRODUCT(($AD$2:AD21="Y")*($E$2:E21="N")*($K$2:K21="Y")*(($C$2:C21="3:45 AM")+($C$2:C21="5:45 AM"))), "")</f>
        <v/>
      </c>
      <c r="AJ21" s="119">
        <f>IF(AND(AD21="Y",C21="3:45 AM",E21="N",J21="Y"),COUNTIFS($AD$2:AD21,"Y",$C$2:C21,"3:45 AM",$E$2:E21,"N",$J$2:J21,"Y"),"")</f>
        <v/>
      </c>
      <c r="AK21" s="119">
        <f>IF(AND(AD21="Y",E21="N",I21="Y",OR(C21="3:45 AM",C21="5:45 AM")),SUMPRODUCT(($AD$2:AD21="Y")*($E$2:E21="N")*($I$2:I21="Y")*(($C$2:C21="3:45 AM")+($C$2:C21="5:45 AM"))), "")</f>
        <v/>
      </c>
      <c r="AL21" s="119">
        <f>IF(AND(AD21="Y",C21="12:15 PM",E21="N",K21&lt;&gt;"Y"),COUNTIFS($AD$2:AD21,"Y",$C$2:C21,"12:15 PM",$E$2:E21,"N",$K$2:K21,"&lt;&gt;Y"),"")</f>
        <v/>
      </c>
      <c r="AM21" s="119">
        <f>IF(AND(AD21="Y",C21="2:00 PM",E21="N",K21&lt;&gt;"Y"),COUNTIFS($AD$2:AD21,"Y",$C$2:C21,"2:00 PM",$E$2:E21,"N",$K$2:K21,"&lt;&gt;Y"),"")</f>
        <v/>
      </c>
      <c r="AN21" s="119">
        <f>IF(AND(AD21="Y",E21="N",K21="Y",OR(C21="12:15 PM",C21="2:00 PM")),SUMPRODUCT(($AD$2:AD21="Y")*($E$2:E21="N")*($K$2:K21="Y")*(($C$2:C21="12:15 PM")+($C$2:C21="2:00 PM"))), "")</f>
        <v/>
      </c>
      <c r="AO21" s="119">
        <f>IF(AND(AD21="Y",C21="12:15 PM",E21="N",L21="Y"),COUNTIFS($AD$2:AD21,"Y",$C$2:C21,"12:15 PM",$E$2:E21,"N",$L$2:L21,"Y"),"")</f>
        <v/>
      </c>
      <c r="AP21" s="119">
        <f>IF(AND(AD21="Y",C21="2:00 PM",E21="N",L21="Y"),COUNTIFS($AD$2:AD21,"Y",$C$2:C21,"2:00 PM",$E$2:E21,"N",$L$2:L21,"Y"),"")</f>
        <v/>
      </c>
    </row>
    <row r="22" ht="14.25" customHeight="1" s="120">
      <c r="A22" s="231" t="inlineStr">
        <is>
          <t>EMP-0021</t>
        </is>
      </c>
      <c r="B22" s="232" t="inlineStr">
        <is>
          <t>Auniyah Bell</t>
        </is>
      </c>
      <c r="C22" s="232" t="inlineStr">
        <is>
          <t>2:00 PM</t>
        </is>
      </c>
      <c r="D22" s="232" t="inlineStr">
        <is>
          <t>Mon, Tue</t>
        </is>
      </c>
      <c r="E22" s="232" t="inlineStr">
        <is>
          <t>Y</t>
        </is>
      </c>
      <c r="F22" s="232" t="inlineStr">
        <is>
          <t>N</t>
        </is>
      </c>
      <c r="G22" s="232" t="inlineStr">
        <is>
          <t>Y</t>
        </is>
      </c>
      <c r="H22" s="232" t="inlineStr">
        <is>
          <t>None</t>
        </is>
      </c>
      <c r="I22" s="232" t="inlineStr">
        <is>
          <t>N</t>
        </is>
      </c>
      <c r="J22" s="232" t="inlineStr">
        <is>
          <t>Y</t>
        </is>
      </c>
      <c r="K22" s="232" t="inlineStr">
        <is>
          <t>N</t>
        </is>
      </c>
      <c r="L22" s="232" t="inlineStr">
        <is>
          <t>Y</t>
        </is>
      </c>
      <c r="M22" s="232" t="inlineStr">
        <is>
          <t>Standard</t>
        </is>
      </c>
      <c r="N22" s="232" t="n"/>
      <c r="O22" s="232" t="n"/>
      <c r="P22" s="232" t="inlineStr">
        <is>
          <t>N</t>
        </is>
      </c>
      <c r="Q22" s="232" t="n"/>
      <c r="R22" s="232" t="n"/>
      <c r="S22" s="232" t="n"/>
      <c r="T22" s="233" t="inlineStr">
        <is>
          <t>N</t>
        </is>
      </c>
      <c r="U22" s="227">
        <f>IF($B22="","",IF(AND($G22="Y",ISERROR(SEARCH(TEXT('Control Center'!$B$3,"ddd"),TRIM($D22)))),"Y","N"))</f>
        <v/>
      </c>
      <c r="V22" s="227">
        <f>IF($B22="","",IF(AND($U22="Y",OR($C22="3:45 AM",$C22="5:45 AM"),OR('Control Center'!$B$4="N",$K22&lt;&gt;"Y")),"Y","N"))</f>
        <v/>
      </c>
      <c r="W22" s="227">
        <f>IF($B22="","",IF(AND($U22="Y",OR($C22="12:15 PM",$C22="2:00 PM"),OR('Control Center'!$B$5="N",$K22&lt;&gt;"Y")),"Y","N"))</f>
        <v/>
      </c>
      <c r="X22" s="228" t="n"/>
      <c r="Y22" s="229" t="n"/>
      <c r="Z22" s="228" t="n"/>
      <c r="AA22" s="229" t="n"/>
      <c r="AB22" s="230">
        <f>IF($B22="","",IF($P22="Y",IF($Y22="Y","Completed","In Progress"),""))</f>
        <v/>
      </c>
      <c r="AC22" s="119">
        <f>IF($B22="","",IF(COUNTIFS('Approved Absences'!$A$2:$A$200,$B22,'Approved Absences'!$B$2:$B$200,"&lt;="&amp;INT('Control Center'!$B$3),'Approved Absences'!$C$2:$C$200,"&gt;="&amp;INT('Control Center'!$B$3))&gt;0,"Y","N"))</f>
        <v/>
      </c>
      <c r="AD22" s="119">
        <f>IF($B22="","",IF(AND($G22="Y",$AC22&lt;&gt;"Y",ISERROR(SEARCH(TEXT('Control Center'!$B$3,"ddd"),TRIM($D22)))),"Y","N"))</f>
        <v/>
      </c>
      <c r="AE22" s="119">
        <f>IF(AND(AD22="Y",C22="3:45 AM",E22="N",K22&lt;&gt;"Y"),COUNTIFS($AD$2:AD22,"Y",$C$2:C22,"3:45 AM",$E$2:E22,"N",$K$2:K22,"&lt;&gt;Y"),"")</f>
        <v/>
      </c>
      <c r="AF22" s="119">
        <f>IF(AND(AD22="Y",C22="5:45 AM",E22="N",K22&lt;&gt;"Y"),COUNTIFS($AD$2:AD22,"Y",$C$2:C22,"5:45 AM",$E$2:E22,"N",$K$2:K22,"&lt;&gt;Y"),"")</f>
        <v/>
      </c>
      <c r="AG22" s="119">
        <f>IF(AND(AD22="Y",C22="3:45 AM",E22="N",L22="Y",K22&lt;&gt;"Y"),COUNTIFS($AD$2:AD22,"Y",$C$2:C22,"3:45 AM",$E$2:E22,"N",$L$2:L22,"Y",$K$2:K22,"&lt;&gt;Y"),"")</f>
        <v/>
      </c>
      <c r="AH22" s="119">
        <f>IF(AND(AD22="Y",C22="5:45 AM",E22="N",L22="Y",K22&lt;&gt;"Y"),COUNTIFS($AD$2:AD22,"Y",$C$2:C22,"5:45 AM",$E$2:E22,"N",$L$2:L22,"Y",$K$2:K22,"&lt;&gt;Y"),"")</f>
        <v/>
      </c>
      <c r="AI22" s="119">
        <f>IF(AND(AD22="Y",E22="N",K22="Y",OR(C22="3:45 AM",C22="5:45 AM")),SUMPRODUCT(($AD$2:AD22="Y")*($E$2:E22="N")*($K$2:K22="Y")*(($C$2:C22="3:45 AM")+($C$2:C22="5:45 AM"))), "")</f>
        <v/>
      </c>
      <c r="AJ22" s="119">
        <f>IF(AND(AD22="Y",C22="3:45 AM",E22="N",J22="Y"),COUNTIFS($AD$2:AD22,"Y",$C$2:C22,"3:45 AM",$E$2:E22,"N",$J$2:J22,"Y"),"")</f>
        <v/>
      </c>
      <c r="AK22" s="119">
        <f>IF(AND(AD22="Y",E22="N",I22="Y",OR(C22="3:45 AM",C22="5:45 AM")),SUMPRODUCT(($AD$2:AD22="Y")*($E$2:E22="N")*($I$2:I22="Y")*(($C$2:C22="3:45 AM")+($C$2:C22="5:45 AM"))), "")</f>
        <v/>
      </c>
      <c r="AL22" s="119">
        <f>IF(AND(AD22="Y",C22="12:15 PM",E22="N",K22&lt;&gt;"Y"),COUNTIFS($AD$2:AD22,"Y",$C$2:C22,"12:15 PM",$E$2:E22,"N",$K$2:K22,"&lt;&gt;Y"),"")</f>
        <v/>
      </c>
      <c r="AM22" s="119">
        <f>IF(AND(AD22="Y",C22="2:00 PM",E22="N",K22&lt;&gt;"Y"),COUNTIFS($AD$2:AD22,"Y",$C$2:C22,"2:00 PM",$E$2:E22,"N",$K$2:K22,"&lt;&gt;Y"),"")</f>
        <v/>
      </c>
      <c r="AN22" s="119">
        <f>IF(AND(AD22="Y",E22="N",K22="Y",OR(C22="12:15 PM",C22="2:00 PM")),SUMPRODUCT(($AD$2:AD22="Y")*($E$2:E22="N")*($K$2:K22="Y")*(($C$2:C22="12:15 PM")+($C$2:C22="2:00 PM"))), "")</f>
        <v/>
      </c>
      <c r="AO22" s="119">
        <f>IF(AND(AD22="Y",C22="12:15 PM",E22="N",L22="Y"),COUNTIFS($AD$2:AD22,"Y",$C$2:C22,"12:15 PM",$E$2:E22,"N",$L$2:L22,"Y"),"")</f>
        <v/>
      </c>
      <c r="AP22" s="119">
        <f>IF(AND(AD22="Y",C22="2:00 PM",E22="N",L22="Y"),COUNTIFS($AD$2:AD22,"Y",$C$2:C22,"2:00 PM",$E$2:E22,"N",$L$2:L22,"Y"),"")</f>
        <v/>
      </c>
    </row>
    <row r="23" ht="14.25" customHeight="1" s="120">
      <c r="A23" s="231" t="inlineStr">
        <is>
          <t>EMP-0022</t>
        </is>
      </c>
      <c r="B23" s="232" t="inlineStr">
        <is>
          <t>Benjamin Crosby</t>
        </is>
      </c>
      <c r="C23" s="232" t="inlineStr">
        <is>
          <t>3:45 AM</t>
        </is>
      </c>
      <c r="D23" s="232" t="inlineStr">
        <is>
          <t>Wed, Thu</t>
        </is>
      </c>
      <c r="E23" s="232" t="inlineStr">
        <is>
          <t>N</t>
        </is>
      </c>
      <c r="F23" s="232" t="inlineStr">
        <is>
          <t>N</t>
        </is>
      </c>
      <c r="G23" s="232" t="inlineStr">
        <is>
          <t>Y</t>
        </is>
      </c>
      <c r="H23" s="232" t="inlineStr">
        <is>
          <t>None</t>
        </is>
      </c>
      <c r="I23" s="232" t="inlineStr">
        <is>
          <t>N</t>
        </is>
      </c>
      <c r="J23" s="232" t="inlineStr">
        <is>
          <t>Y</t>
        </is>
      </c>
      <c r="K23" s="232" t="inlineStr">
        <is>
          <t>N</t>
        </is>
      </c>
      <c r="L23" s="232" t="inlineStr">
        <is>
          <t>Y</t>
        </is>
      </c>
      <c r="M23" s="232" t="inlineStr">
        <is>
          <t>Standard</t>
        </is>
      </c>
      <c r="N23" s="232" t="n"/>
      <c r="O23" s="232" t="n"/>
      <c r="P23" s="232" t="inlineStr">
        <is>
          <t>N</t>
        </is>
      </c>
      <c r="Q23" s="232" t="n"/>
      <c r="R23" s="232" t="n"/>
      <c r="S23" s="232" t="n"/>
      <c r="T23" s="233" t="inlineStr">
        <is>
          <t>N</t>
        </is>
      </c>
      <c r="U23" s="227">
        <f>IF($B23="","",IF(AND($G23="Y",ISERROR(SEARCH(TEXT('Control Center'!$B$3,"ddd"),TRIM($D23)))),"Y","N"))</f>
        <v/>
      </c>
      <c r="V23" s="227">
        <f>IF($B23="","",IF(AND($U23="Y",OR($C23="3:45 AM",$C23="5:45 AM"),OR('Control Center'!$B$4="N",$K23&lt;&gt;"Y")),"Y","N"))</f>
        <v/>
      </c>
      <c r="W23" s="227">
        <f>IF($B23="","",IF(AND($U23="Y",OR($C23="12:15 PM",$C23="2:00 PM"),OR('Control Center'!$B$5="N",$K23&lt;&gt;"Y")),"Y","N"))</f>
        <v/>
      </c>
      <c r="X23" s="228" t="n"/>
      <c r="Y23" s="229" t="n"/>
      <c r="Z23" s="228" t="n"/>
      <c r="AA23" s="229" t="n"/>
      <c r="AB23" s="230">
        <f>IF($B23="","",IF($P23="Y",IF($Y23="Y","Completed","In Progress"),""))</f>
        <v/>
      </c>
      <c r="AC23" s="119">
        <f>IF($B23="","",IF(COUNTIFS('Approved Absences'!$A$2:$A$200,$B23,'Approved Absences'!$B$2:$B$200,"&lt;="&amp;INT('Control Center'!$B$3),'Approved Absences'!$C$2:$C$200,"&gt;="&amp;INT('Control Center'!$B$3))&gt;0,"Y","N"))</f>
        <v/>
      </c>
      <c r="AD23" s="119">
        <f>IF($B23="","",IF(AND($G23="Y",$AC23&lt;&gt;"Y",ISERROR(SEARCH(TEXT('Control Center'!$B$3,"ddd"),TRIM($D23)))),"Y","N"))</f>
        <v/>
      </c>
      <c r="AE23" s="119">
        <f>IF(AND(AD23="Y",C23="3:45 AM",E23="N",K23&lt;&gt;"Y"),COUNTIFS($AD$2:AD23,"Y",$C$2:C23,"3:45 AM",$E$2:E23,"N",$K$2:K23,"&lt;&gt;Y"),"")</f>
        <v/>
      </c>
      <c r="AF23" s="119">
        <f>IF(AND(AD23="Y",C23="5:45 AM",E23="N",K23&lt;&gt;"Y"),COUNTIFS($AD$2:AD23,"Y",$C$2:C23,"5:45 AM",$E$2:E23,"N",$K$2:K23,"&lt;&gt;Y"),"")</f>
        <v/>
      </c>
      <c r="AG23" s="119">
        <f>IF(AND(AD23="Y",C23="3:45 AM",E23="N",L23="Y",K23&lt;&gt;"Y"),COUNTIFS($AD$2:AD23,"Y",$C$2:C23,"3:45 AM",$E$2:E23,"N",$L$2:L23,"Y",$K$2:K23,"&lt;&gt;Y"),"")</f>
        <v/>
      </c>
      <c r="AH23" s="119">
        <f>IF(AND(AD23="Y",C23="5:45 AM",E23="N",L23="Y",K23&lt;&gt;"Y"),COUNTIFS($AD$2:AD23,"Y",$C$2:C23,"5:45 AM",$E$2:E23,"N",$L$2:L23,"Y",$K$2:K23,"&lt;&gt;Y"),"")</f>
        <v/>
      </c>
      <c r="AI23" s="119">
        <f>IF(AND(AD23="Y",E23="N",K23="Y",OR(C23="3:45 AM",C23="5:45 AM")),SUMPRODUCT(($AD$2:AD23="Y")*($E$2:E23="N")*($K$2:K23="Y")*(($C$2:C23="3:45 AM")+($C$2:C23="5:45 AM"))), "")</f>
        <v/>
      </c>
      <c r="AJ23" s="119">
        <f>IF(AND(AD23="Y",C23="3:45 AM",E23="N",J23="Y"),COUNTIFS($AD$2:AD23,"Y",$C$2:C23,"3:45 AM",$E$2:E23,"N",$J$2:J23,"Y"),"")</f>
        <v/>
      </c>
      <c r="AK23" s="119">
        <f>IF(AND(AD23="Y",E23="N",I23="Y",OR(C23="3:45 AM",C23="5:45 AM")),SUMPRODUCT(($AD$2:AD23="Y")*($E$2:E23="N")*($I$2:I23="Y")*(($C$2:C23="3:45 AM")+($C$2:C23="5:45 AM"))), "")</f>
        <v/>
      </c>
      <c r="AL23" s="119">
        <f>IF(AND(AD23="Y",C23="12:15 PM",E23="N",K23&lt;&gt;"Y"),COUNTIFS($AD$2:AD23,"Y",$C$2:C23,"12:15 PM",$E$2:E23,"N",$K$2:K23,"&lt;&gt;Y"),"")</f>
        <v/>
      </c>
      <c r="AM23" s="119">
        <f>IF(AND(AD23="Y",C23="2:00 PM",E23="N",K23&lt;&gt;"Y"),COUNTIFS($AD$2:AD23,"Y",$C$2:C23,"2:00 PM",$E$2:E23,"N",$K$2:K23,"&lt;&gt;Y"),"")</f>
        <v/>
      </c>
      <c r="AN23" s="119">
        <f>IF(AND(AD23="Y",E23="N",K23="Y",OR(C23="12:15 PM",C23="2:00 PM")),SUMPRODUCT(($AD$2:AD23="Y")*($E$2:E23="N")*($K$2:K23="Y")*(($C$2:C23="12:15 PM")+($C$2:C23="2:00 PM"))), "")</f>
        <v/>
      </c>
      <c r="AO23" s="119">
        <f>IF(AND(AD23="Y",C23="12:15 PM",E23="N",L23="Y"),COUNTIFS($AD$2:AD23,"Y",$C$2:C23,"12:15 PM",$E$2:E23,"N",$L$2:L23,"Y"),"")</f>
        <v/>
      </c>
      <c r="AP23" s="119">
        <f>IF(AND(AD23="Y",C23="2:00 PM",E23="N",L23="Y"),COUNTIFS($AD$2:AD23,"Y",$C$2:C23,"2:00 PM",$E$2:E23,"N",$L$2:L23,"Y"),"")</f>
        <v/>
      </c>
    </row>
    <row r="24" ht="14.25" customHeight="1" s="120">
      <c r="A24" s="231" t="inlineStr">
        <is>
          <t>EMP-0023</t>
        </is>
      </c>
      <c r="B24" s="232" t="inlineStr">
        <is>
          <t>Betelhem Wubshet</t>
        </is>
      </c>
      <c r="C24" s="232" t="inlineStr">
        <is>
          <t>12:15 PM</t>
        </is>
      </c>
      <c r="D24" s="232" t="inlineStr">
        <is>
          <t>Mon, Tue</t>
        </is>
      </c>
      <c r="E24" s="232" t="inlineStr">
        <is>
          <t>N</t>
        </is>
      </c>
      <c r="F24" s="232" t="inlineStr">
        <is>
          <t>N</t>
        </is>
      </c>
      <c r="G24" s="232" t="inlineStr">
        <is>
          <t>Y</t>
        </is>
      </c>
      <c r="H24" s="232" t="inlineStr">
        <is>
          <t>None</t>
        </is>
      </c>
      <c r="I24" s="232" t="inlineStr">
        <is>
          <t>N</t>
        </is>
      </c>
      <c r="J24" s="232" t="inlineStr">
        <is>
          <t>N</t>
        </is>
      </c>
      <c r="K24" s="232" t="inlineStr">
        <is>
          <t>N</t>
        </is>
      </c>
      <c r="L24" s="232" t="inlineStr">
        <is>
          <t>Y</t>
        </is>
      </c>
      <c r="M24" s="232" t="inlineStr">
        <is>
          <t>Standard</t>
        </is>
      </c>
      <c r="N24" s="232" t="n"/>
      <c r="O24" s="232" t="n"/>
      <c r="P24" s="232" t="inlineStr">
        <is>
          <t>N</t>
        </is>
      </c>
      <c r="Q24" s="232" t="n"/>
      <c r="R24" s="232" t="n"/>
      <c r="S24" s="232" t="n"/>
      <c r="T24" s="233" t="inlineStr">
        <is>
          <t>N</t>
        </is>
      </c>
      <c r="U24" s="227">
        <f>IF($B24="","",IF(AND($G24="Y",ISERROR(SEARCH(TEXT('Control Center'!$B$3,"ddd"),TRIM($D24)))),"Y","N"))</f>
        <v/>
      </c>
      <c r="V24" s="227">
        <f>IF($B24="","",IF(AND($U24="Y",OR($C24="3:45 AM",$C24="5:45 AM"),OR('Control Center'!$B$4="N",$K24&lt;&gt;"Y")),"Y","N"))</f>
        <v/>
      </c>
      <c r="W24" s="227">
        <f>IF($B24="","",IF(AND($U24="Y",OR($C24="12:15 PM",$C24="2:00 PM"),OR('Control Center'!$B$5="N",$K24&lt;&gt;"Y")),"Y","N"))</f>
        <v/>
      </c>
      <c r="X24" s="228" t="n"/>
      <c r="Y24" s="229" t="n"/>
      <c r="Z24" s="228" t="n"/>
      <c r="AA24" s="229" t="n"/>
      <c r="AB24" s="230">
        <f>IF($B24="","",IF($P24="Y",IF($Y24="Y","Completed","In Progress"),""))</f>
        <v/>
      </c>
      <c r="AC24" s="119">
        <f>IF($B24="","",IF(COUNTIFS('Approved Absences'!$A$2:$A$200,$B24,'Approved Absences'!$B$2:$B$200,"&lt;="&amp;INT('Control Center'!$B$3),'Approved Absences'!$C$2:$C$200,"&gt;="&amp;INT('Control Center'!$B$3))&gt;0,"Y","N"))</f>
        <v/>
      </c>
      <c r="AD24" s="119">
        <f>IF($B24="","",IF(AND($G24="Y",$AC24&lt;&gt;"Y",ISERROR(SEARCH(TEXT('Control Center'!$B$3,"ddd"),TRIM($D24)))),"Y","N"))</f>
        <v/>
      </c>
      <c r="AE24" s="119">
        <f>IF(AND(AD24="Y",C24="3:45 AM",E24="N",K24&lt;&gt;"Y"),COUNTIFS($AD$2:AD24,"Y",$C$2:C24,"3:45 AM",$E$2:E24,"N",$K$2:K24,"&lt;&gt;Y"),"")</f>
        <v/>
      </c>
      <c r="AF24" s="119">
        <f>IF(AND(AD24="Y",C24="5:45 AM",E24="N",K24&lt;&gt;"Y"),COUNTIFS($AD$2:AD24,"Y",$C$2:C24,"5:45 AM",$E$2:E24,"N",$K$2:K24,"&lt;&gt;Y"),"")</f>
        <v/>
      </c>
      <c r="AG24" s="119">
        <f>IF(AND(AD24="Y",C24="3:45 AM",E24="N",L24="Y",K24&lt;&gt;"Y"),COUNTIFS($AD$2:AD24,"Y",$C$2:C24,"3:45 AM",$E$2:E24,"N",$L$2:L24,"Y",$K$2:K24,"&lt;&gt;Y"),"")</f>
        <v/>
      </c>
      <c r="AH24" s="119">
        <f>IF(AND(AD24="Y",C24="5:45 AM",E24="N",L24="Y",K24&lt;&gt;"Y"),COUNTIFS($AD$2:AD24,"Y",$C$2:C24,"5:45 AM",$E$2:E24,"N",$L$2:L24,"Y",$K$2:K24,"&lt;&gt;Y"),"")</f>
        <v/>
      </c>
      <c r="AI24" s="119">
        <f>IF(AND(AD24="Y",E24="N",K24="Y",OR(C24="3:45 AM",C24="5:45 AM")),SUMPRODUCT(($AD$2:AD24="Y")*($E$2:E24="N")*($K$2:K24="Y")*(($C$2:C24="3:45 AM")+($C$2:C24="5:45 AM"))), "")</f>
        <v/>
      </c>
      <c r="AJ24" s="119">
        <f>IF(AND(AD24="Y",C24="3:45 AM",E24="N",J24="Y"),COUNTIFS($AD$2:AD24,"Y",$C$2:C24,"3:45 AM",$E$2:E24,"N",$J$2:J24,"Y"),"")</f>
        <v/>
      </c>
      <c r="AK24" s="119">
        <f>IF(AND(AD24="Y",E24="N",I24="Y",OR(C24="3:45 AM",C24="5:45 AM")),SUMPRODUCT(($AD$2:AD24="Y")*($E$2:E24="N")*($I$2:I24="Y")*(($C$2:C24="3:45 AM")+($C$2:C24="5:45 AM"))), "")</f>
        <v/>
      </c>
      <c r="AL24" s="119">
        <f>IF(AND(AD24="Y",C24="12:15 PM",E24="N",K24&lt;&gt;"Y"),COUNTIFS($AD$2:AD24,"Y",$C$2:C24,"12:15 PM",$E$2:E24,"N",$K$2:K24,"&lt;&gt;Y"),"")</f>
        <v/>
      </c>
      <c r="AM24" s="119">
        <f>IF(AND(AD24="Y",C24="2:00 PM",E24="N",K24&lt;&gt;"Y"),COUNTIFS($AD$2:AD24,"Y",$C$2:C24,"2:00 PM",$E$2:E24,"N",$K$2:K24,"&lt;&gt;Y"),"")</f>
        <v/>
      </c>
      <c r="AN24" s="119">
        <f>IF(AND(AD24="Y",E24="N",K24="Y",OR(C24="12:15 PM",C24="2:00 PM")),SUMPRODUCT(($AD$2:AD24="Y")*($E$2:E24="N")*($K$2:K24="Y")*(($C$2:C24="12:15 PM")+($C$2:C24="2:00 PM"))), "")</f>
        <v/>
      </c>
      <c r="AO24" s="119">
        <f>IF(AND(AD24="Y",C24="12:15 PM",E24="N",L24="Y"),COUNTIFS($AD$2:AD24,"Y",$C$2:C24,"12:15 PM",$E$2:E24,"N",$L$2:L24,"Y"),"")</f>
        <v/>
      </c>
      <c r="AP24" s="119">
        <f>IF(AND(AD24="Y",C24="2:00 PM",E24="N",L24="Y"),COUNTIFS($AD$2:AD24,"Y",$C$2:C24,"2:00 PM",$E$2:E24,"N",$L$2:L24,"Y"),"")</f>
        <v/>
      </c>
    </row>
    <row r="25" ht="14.25" customHeight="1" s="120">
      <c r="A25" s="231" t="inlineStr">
        <is>
          <t>EMP-0024</t>
        </is>
      </c>
      <c r="B25" s="232" t="inlineStr">
        <is>
          <t>Beverly Felton</t>
        </is>
      </c>
      <c r="C25" s="232" t="inlineStr">
        <is>
          <t>3:45 AM</t>
        </is>
      </c>
      <c r="D25" s="232" t="inlineStr">
        <is>
          <t>Sun, Mon, Tue</t>
        </is>
      </c>
      <c r="E25" s="232" t="inlineStr">
        <is>
          <t>N</t>
        </is>
      </c>
      <c r="F25" s="232" t="inlineStr">
        <is>
          <t>N</t>
        </is>
      </c>
      <c r="G25" s="232" t="inlineStr">
        <is>
          <t>Y</t>
        </is>
      </c>
      <c r="H25" s="232" t="inlineStr">
        <is>
          <t>None</t>
        </is>
      </c>
      <c r="I25" s="232" t="inlineStr">
        <is>
          <t>N</t>
        </is>
      </c>
      <c r="J25" s="232" t="inlineStr">
        <is>
          <t>N</t>
        </is>
      </c>
      <c r="K25" s="232" t="inlineStr">
        <is>
          <t>N</t>
        </is>
      </c>
      <c r="L25" s="232" t="inlineStr">
        <is>
          <t>N</t>
        </is>
      </c>
      <c r="M25" s="232" t="inlineStr">
        <is>
          <t>Standard</t>
        </is>
      </c>
      <c r="N25" s="232" t="n"/>
      <c r="O25" s="232" t="n"/>
      <c r="P25" s="232" t="inlineStr">
        <is>
          <t>N</t>
        </is>
      </c>
      <c r="Q25" s="232" t="n"/>
      <c r="R25" s="232" t="n"/>
      <c r="S25" s="232" t="n"/>
      <c r="T25" s="233" t="inlineStr">
        <is>
          <t>N</t>
        </is>
      </c>
      <c r="U25" s="227">
        <f>IF($B25="","",IF(AND($G25="Y",ISERROR(SEARCH(TEXT('Control Center'!$B$3,"ddd"),TRIM($D25)))),"Y","N"))</f>
        <v/>
      </c>
      <c r="V25" s="227">
        <f>IF($B25="","",IF(AND($U25="Y",OR($C25="3:45 AM",$C25="5:45 AM"),OR('Control Center'!$B$4="N",$K25&lt;&gt;"Y")),"Y","N"))</f>
        <v/>
      </c>
      <c r="W25" s="227">
        <f>IF($B25="","",IF(AND($U25="Y",OR($C25="12:15 PM",$C25="2:00 PM"),OR('Control Center'!$B$5="N",$K25&lt;&gt;"Y")),"Y","N"))</f>
        <v/>
      </c>
      <c r="X25" s="228" t="n"/>
      <c r="Y25" s="229" t="n"/>
      <c r="Z25" s="228" t="n"/>
      <c r="AA25" s="229" t="n"/>
      <c r="AB25" s="230">
        <f>IF($B25="","",IF($P25="Y",IF($Y25="Y","Completed","In Progress"),""))</f>
        <v/>
      </c>
      <c r="AC25" s="119">
        <f>IF($B25="","",IF(COUNTIFS('Approved Absences'!$A$2:$A$200,$B25,'Approved Absences'!$B$2:$B$200,"&lt;="&amp;INT('Control Center'!$B$3),'Approved Absences'!$C$2:$C$200,"&gt;="&amp;INT('Control Center'!$B$3))&gt;0,"Y","N"))</f>
        <v/>
      </c>
      <c r="AD25" s="119">
        <f>IF($B25="","",IF(AND($G25="Y",$AC25&lt;&gt;"Y",ISERROR(SEARCH(TEXT('Control Center'!$B$3,"ddd"),TRIM($D25)))),"Y","N"))</f>
        <v/>
      </c>
      <c r="AE25" s="119">
        <f>IF(AND(AD25="Y",C25="3:45 AM",E25="N",K25&lt;&gt;"Y"),COUNTIFS($AD$2:AD25,"Y",$C$2:C25,"3:45 AM",$E$2:E25,"N",$K$2:K25,"&lt;&gt;Y"),"")</f>
        <v/>
      </c>
      <c r="AF25" s="119">
        <f>IF(AND(AD25="Y",C25="5:45 AM",E25="N",K25&lt;&gt;"Y"),COUNTIFS($AD$2:AD25,"Y",$C$2:C25,"5:45 AM",$E$2:E25,"N",$K$2:K25,"&lt;&gt;Y"),"")</f>
        <v/>
      </c>
      <c r="AG25" s="119">
        <f>IF(AND(AD25="Y",C25="3:45 AM",E25="N",L25="Y",K25&lt;&gt;"Y"),COUNTIFS($AD$2:AD25,"Y",$C$2:C25,"3:45 AM",$E$2:E25,"N",$L$2:L25,"Y",$K$2:K25,"&lt;&gt;Y"),"")</f>
        <v/>
      </c>
      <c r="AH25" s="119">
        <f>IF(AND(AD25="Y",C25="5:45 AM",E25="N",L25="Y",K25&lt;&gt;"Y"),COUNTIFS($AD$2:AD25,"Y",$C$2:C25,"5:45 AM",$E$2:E25,"N",$L$2:L25,"Y",$K$2:K25,"&lt;&gt;Y"),"")</f>
        <v/>
      </c>
      <c r="AI25" s="119">
        <f>IF(AND(AD25="Y",E25="N",K25="Y",OR(C25="3:45 AM",C25="5:45 AM")),SUMPRODUCT(($AD$2:AD25="Y")*($E$2:E25="N")*($K$2:K25="Y")*(($C$2:C25="3:45 AM")+($C$2:C25="5:45 AM"))), "")</f>
        <v/>
      </c>
      <c r="AJ25" s="119">
        <f>IF(AND(AD25="Y",C25="3:45 AM",E25="N",J25="Y"),COUNTIFS($AD$2:AD25,"Y",$C$2:C25,"3:45 AM",$E$2:E25,"N",$J$2:J25,"Y"),"")</f>
        <v/>
      </c>
      <c r="AK25" s="119">
        <f>IF(AND(AD25="Y",E25="N",I25="Y",OR(C25="3:45 AM",C25="5:45 AM")),SUMPRODUCT(($AD$2:AD25="Y")*($E$2:E25="N")*($I$2:I25="Y")*(($C$2:C25="3:45 AM")+($C$2:C25="5:45 AM"))), "")</f>
        <v/>
      </c>
      <c r="AL25" s="119">
        <f>IF(AND(AD25="Y",C25="12:15 PM",E25="N",K25&lt;&gt;"Y"),COUNTIFS($AD$2:AD25,"Y",$C$2:C25,"12:15 PM",$E$2:E25,"N",$K$2:K25,"&lt;&gt;Y"),"")</f>
        <v/>
      </c>
      <c r="AM25" s="119">
        <f>IF(AND(AD25="Y",C25="2:00 PM",E25="N",K25&lt;&gt;"Y"),COUNTIFS($AD$2:AD25,"Y",$C$2:C25,"2:00 PM",$E$2:E25,"N",$K$2:K25,"&lt;&gt;Y"),"")</f>
        <v/>
      </c>
      <c r="AN25" s="119">
        <f>IF(AND(AD25="Y",E25="N",K25="Y",OR(C25="12:15 PM",C25="2:00 PM")),SUMPRODUCT(($AD$2:AD25="Y")*($E$2:E25="N")*($K$2:K25="Y")*(($C$2:C25="12:15 PM")+($C$2:C25="2:00 PM"))), "")</f>
        <v/>
      </c>
      <c r="AO25" s="119">
        <f>IF(AND(AD25="Y",C25="12:15 PM",E25="N",L25="Y"),COUNTIFS($AD$2:AD25,"Y",$C$2:C25,"12:15 PM",$E$2:E25,"N",$L$2:L25,"Y"),"")</f>
        <v/>
      </c>
      <c r="AP25" s="119">
        <f>IF(AND(AD25="Y",C25="2:00 PM",E25="N",L25="Y"),COUNTIFS($AD$2:AD25,"Y",$C$2:C25,"2:00 PM",$E$2:E25,"N",$L$2:L25,"Y"),"")</f>
        <v/>
      </c>
    </row>
    <row r="26" ht="14.25" customHeight="1" s="120">
      <c r="A26" s="231" t="inlineStr">
        <is>
          <t>EMP-0025</t>
        </is>
      </c>
      <c r="B26" s="232" t="inlineStr">
        <is>
          <t>Bintou Gueye</t>
        </is>
      </c>
      <c r="C26" s="232" t="inlineStr">
        <is>
          <t>5:45 AM</t>
        </is>
      </c>
      <c r="D26" s="232" t="inlineStr">
        <is>
          <t>Mon, Tue</t>
        </is>
      </c>
      <c r="E26" s="232" t="inlineStr">
        <is>
          <t>N</t>
        </is>
      </c>
      <c r="F26" s="232" t="inlineStr">
        <is>
          <t>N</t>
        </is>
      </c>
      <c r="G26" s="232" t="inlineStr">
        <is>
          <t>Y</t>
        </is>
      </c>
      <c r="H26" s="232" t="inlineStr">
        <is>
          <t>None</t>
        </is>
      </c>
      <c r="I26" s="232" t="inlineStr">
        <is>
          <t>N</t>
        </is>
      </c>
      <c r="J26" s="232" t="inlineStr">
        <is>
          <t>N</t>
        </is>
      </c>
      <c r="K26" s="232" t="inlineStr">
        <is>
          <t>N</t>
        </is>
      </c>
      <c r="L26" s="232" t="inlineStr">
        <is>
          <t>Y</t>
        </is>
      </c>
      <c r="M26" s="232" t="inlineStr">
        <is>
          <t>Standard</t>
        </is>
      </c>
      <c r="N26" s="232" t="n"/>
      <c r="O26" s="232" t="n"/>
      <c r="P26" s="232" t="inlineStr">
        <is>
          <t>N</t>
        </is>
      </c>
      <c r="Q26" s="232" t="n"/>
      <c r="R26" s="232" t="n"/>
      <c r="S26" s="232" t="n"/>
      <c r="T26" s="233" t="inlineStr">
        <is>
          <t>N</t>
        </is>
      </c>
      <c r="U26" s="227">
        <f>IF($B26="","",IF(AND($G26="Y",ISERROR(SEARCH(TEXT('Control Center'!$B$3,"ddd"),TRIM($D26)))),"Y","N"))</f>
        <v/>
      </c>
      <c r="V26" s="227">
        <f>IF($B26="","",IF(AND($U26="Y",OR($C26="3:45 AM",$C26="5:45 AM"),OR('Control Center'!$B$4="N",$K26&lt;&gt;"Y")),"Y","N"))</f>
        <v/>
      </c>
      <c r="W26" s="227">
        <f>IF($B26="","",IF(AND($U26="Y",OR($C26="12:15 PM",$C26="2:00 PM"),OR('Control Center'!$B$5="N",$K26&lt;&gt;"Y")),"Y","N"))</f>
        <v/>
      </c>
      <c r="X26" s="228" t="n"/>
      <c r="Y26" s="229" t="n"/>
      <c r="Z26" s="228" t="n"/>
      <c r="AA26" s="229" t="n"/>
      <c r="AB26" s="230">
        <f>IF($B26="","",IF($P26="Y",IF($Y26="Y","Completed","In Progress"),""))</f>
        <v/>
      </c>
      <c r="AC26" s="119">
        <f>IF($B26="","",IF(COUNTIFS('Approved Absences'!$A$2:$A$200,$B26,'Approved Absences'!$B$2:$B$200,"&lt;="&amp;INT('Control Center'!$B$3),'Approved Absences'!$C$2:$C$200,"&gt;="&amp;INT('Control Center'!$B$3))&gt;0,"Y","N"))</f>
        <v/>
      </c>
      <c r="AD26" s="119">
        <f>IF($B26="","",IF(AND($G26="Y",$AC26&lt;&gt;"Y",ISERROR(SEARCH(TEXT('Control Center'!$B$3,"ddd"),TRIM($D26)))),"Y","N"))</f>
        <v/>
      </c>
      <c r="AE26" s="119">
        <f>IF(AND(AD26="Y",C26="3:45 AM",E26="N",K26&lt;&gt;"Y"),COUNTIFS($AD$2:AD26,"Y",$C$2:C26,"3:45 AM",$E$2:E26,"N",$K$2:K26,"&lt;&gt;Y"),"")</f>
        <v/>
      </c>
      <c r="AF26" s="119">
        <f>IF(AND(AD26="Y",C26="5:45 AM",E26="N",K26&lt;&gt;"Y"),COUNTIFS($AD$2:AD26,"Y",$C$2:C26,"5:45 AM",$E$2:E26,"N",$K$2:K26,"&lt;&gt;Y"),"")</f>
        <v/>
      </c>
      <c r="AG26" s="119">
        <f>IF(AND(AD26="Y",C26="3:45 AM",E26="N",L26="Y",K26&lt;&gt;"Y"),COUNTIFS($AD$2:AD26,"Y",$C$2:C26,"3:45 AM",$E$2:E26,"N",$L$2:L26,"Y",$K$2:K26,"&lt;&gt;Y"),"")</f>
        <v/>
      </c>
      <c r="AH26" s="119">
        <f>IF(AND(AD26="Y",C26="5:45 AM",E26="N",L26="Y",K26&lt;&gt;"Y"),COUNTIFS($AD$2:AD26,"Y",$C$2:C26,"5:45 AM",$E$2:E26,"N",$L$2:L26,"Y",$K$2:K26,"&lt;&gt;Y"),"")</f>
        <v/>
      </c>
      <c r="AI26" s="119">
        <f>IF(AND(AD26="Y",E26="N",K26="Y",OR(C26="3:45 AM",C26="5:45 AM")),SUMPRODUCT(($AD$2:AD26="Y")*($E$2:E26="N")*($K$2:K26="Y")*(($C$2:C26="3:45 AM")+($C$2:C26="5:45 AM"))), "")</f>
        <v/>
      </c>
      <c r="AJ26" s="119">
        <f>IF(AND(AD26="Y",C26="3:45 AM",E26="N",J26="Y"),COUNTIFS($AD$2:AD26,"Y",$C$2:C26,"3:45 AM",$E$2:E26,"N",$J$2:J26,"Y"),"")</f>
        <v/>
      </c>
      <c r="AK26" s="119">
        <f>IF(AND(AD26="Y",E26="N",I26="Y",OR(C26="3:45 AM",C26="5:45 AM")),SUMPRODUCT(($AD$2:AD26="Y")*($E$2:E26="N")*($I$2:I26="Y")*(($C$2:C26="3:45 AM")+($C$2:C26="5:45 AM"))), "")</f>
        <v/>
      </c>
      <c r="AL26" s="119">
        <f>IF(AND(AD26="Y",C26="12:15 PM",E26="N",K26&lt;&gt;"Y"),COUNTIFS($AD$2:AD26,"Y",$C$2:C26,"12:15 PM",$E$2:E26,"N",$K$2:K26,"&lt;&gt;Y"),"")</f>
        <v/>
      </c>
      <c r="AM26" s="119">
        <f>IF(AND(AD26="Y",C26="2:00 PM",E26="N",K26&lt;&gt;"Y"),COUNTIFS($AD$2:AD26,"Y",$C$2:C26,"2:00 PM",$E$2:E26,"N",$K$2:K26,"&lt;&gt;Y"),"")</f>
        <v/>
      </c>
      <c r="AN26" s="119">
        <f>IF(AND(AD26="Y",E26="N",K26="Y",OR(C26="12:15 PM",C26="2:00 PM")),SUMPRODUCT(($AD$2:AD26="Y")*($E$2:E26="N")*($K$2:K26="Y")*(($C$2:C26="12:15 PM")+($C$2:C26="2:00 PM"))), "")</f>
        <v/>
      </c>
      <c r="AO26" s="119">
        <f>IF(AND(AD26="Y",C26="12:15 PM",E26="N",L26="Y"),COUNTIFS($AD$2:AD26,"Y",$C$2:C26,"12:15 PM",$E$2:E26,"N",$L$2:L26,"Y"),"")</f>
        <v/>
      </c>
      <c r="AP26" s="119">
        <f>IF(AND(AD26="Y",C26="2:00 PM",E26="N",L26="Y"),COUNTIFS($AD$2:AD26,"Y",$C$2:C26,"2:00 PM",$E$2:E26,"N",$L$2:L26,"Y"),"")</f>
        <v/>
      </c>
    </row>
    <row r="27" ht="14.25" customHeight="1" s="120">
      <c r="A27" s="231" t="inlineStr">
        <is>
          <t>EMP-0027</t>
        </is>
      </c>
      <c r="B27" s="232" t="inlineStr">
        <is>
          <t>Braheem Wooden</t>
        </is>
      </c>
      <c r="C27" s="232" t="inlineStr">
        <is>
          <t>2:00 PM</t>
        </is>
      </c>
      <c r="D27" s="232" t="inlineStr">
        <is>
          <t>Tue, Wed</t>
        </is>
      </c>
      <c r="E27" s="232" t="inlineStr">
        <is>
          <t>N</t>
        </is>
      </c>
      <c r="F27" s="232" t="inlineStr">
        <is>
          <t>Y</t>
        </is>
      </c>
      <c r="G27" s="232" t="inlineStr">
        <is>
          <t>Y</t>
        </is>
      </c>
      <c r="H27" s="232" t="inlineStr">
        <is>
          <t>None</t>
        </is>
      </c>
      <c r="I27" s="232" t="inlineStr">
        <is>
          <t>Y</t>
        </is>
      </c>
      <c r="J27" s="232" t="inlineStr">
        <is>
          <t>Y</t>
        </is>
      </c>
      <c r="K27" s="232" t="inlineStr">
        <is>
          <t>N</t>
        </is>
      </c>
      <c r="L27" s="232" t="inlineStr">
        <is>
          <t>Y</t>
        </is>
      </c>
      <c r="M27" s="232" t="inlineStr">
        <is>
          <t>Standard</t>
        </is>
      </c>
      <c r="N27" s="232" t="n"/>
      <c r="O27" s="232" t="n"/>
      <c r="P27" s="232" t="inlineStr">
        <is>
          <t>N</t>
        </is>
      </c>
      <c r="Q27" s="232" t="n"/>
      <c r="R27" s="232" t="n"/>
      <c r="S27" s="232" t="n"/>
      <c r="T27" s="233" t="inlineStr">
        <is>
          <t>N</t>
        </is>
      </c>
      <c r="U27" s="227">
        <f>IF($B27="","",IF(AND($G27="Y",ISERROR(SEARCH(TEXT('Control Center'!$B$3,"ddd"),TRIM($D27)))),"Y","N"))</f>
        <v/>
      </c>
      <c r="V27" s="227">
        <f>IF($B27="","",IF(AND($U27="Y",OR($C27="3:45 AM",$C27="5:45 AM"),OR('Control Center'!$B$4="N",$K27&lt;&gt;"Y")),"Y","N"))</f>
        <v/>
      </c>
      <c r="W27" s="227">
        <f>IF($B27="","",IF(AND($U27="Y",OR($C27="12:15 PM",$C27="2:00 PM"),OR('Control Center'!$B$5="N",$K27&lt;&gt;"Y")),"Y","N"))</f>
        <v/>
      </c>
      <c r="X27" s="228" t="n"/>
      <c r="Y27" s="229" t="n"/>
      <c r="Z27" s="228" t="n"/>
      <c r="AA27" s="229" t="n"/>
      <c r="AB27" s="230">
        <f>IF($B27="","",IF($P27="Y",IF($Y27="Y","Completed","In Progress"),""))</f>
        <v/>
      </c>
      <c r="AC27" s="119">
        <f>IF($B27="","",IF(COUNTIFS('Approved Absences'!$A$2:$A$200,$B27,'Approved Absences'!$B$2:$B$200,"&lt;="&amp;INT('Control Center'!$B$3),'Approved Absences'!$C$2:$C$200,"&gt;="&amp;INT('Control Center'!$B$3))&gt;0,"Y","N"))</f>
        <v/>
      </c>
      <c r="AD27" s="119">
        <f>IF($B27="","",IF(AND($G27="Y",$AC27&lt;&gt;"Y",ISERROR(SEARCH(TEXT('Control Center'!$B$3,"ddd"),TRIM($D27)))),"Y","N"))</f>
        <v/>
      </c>
      <c r="AE27" s="119">
        <f>IF(AND(AD27="Y",C27="3:45 AM",E27="N",K27&lt;&gt;"Y"),COUNTIFS($AD$2:AD27,"Y",$C$2:C27,"3:45 AM",$E$2:E27,"N",$K$2:K27,"&lt;&gt;Y"),"")</f>
        <v/>
      </c>
      <c r="AF27" s="119">
        <f>IF(AND(AD27="Y",C27="5:45 AM",E27="N",K27&lt;&gt;"Y"),COUNTIFS($AD$2:AD27,"Y",$C$2:C27,"5:45 AM",$E$2:E27,"N",$K$2:K27,"&lt;&gt;Y"),"")</f>
        <v/>
      </c>
      <c r="AG27" s="119">
        <f>IF(AND(AD27="Y",C27="3:45 AM",E27="N",L27="Y",K27&lt;&gt;"Y"),COUNTIFS($AD$2:AD27,"Y",$C$2:C27,"3:45 AM",$E$2:E27,"N",$L$2:L27,"Y",$K$2:K27,"&lt;&gt;Y"),"")</f>
        <v/>
      </c>
      <c r="AH27" s="119">
        <f>IF(AND(AD27="Y",C27="5:45 AM",E27="N",L27="Y",K27&lt;&gt;"Y"),COUNTIFS($AD$2:AD27,"Y",$C$2:C27,"5:45 AM",$E$2:E27,"N",$L$2:L27,"Y",$K$2:K27,"&lt;&gt;Y"),"")</f>
        <v/>
      </c>
      <c r="AI27" s="119">
        <f>IF(AND(AD27="Y",E27="N",K27="Y",OR(C27="3:45 AM",C27="5:45 AM")),SUMPRODUCT(($AD$2:AD27="Y")*($E$2:E27="N")*($K$2:K27="Y")*(($C$2:C27="3:45 AM")+($C$2:C27="5:45 AM"))), "")</f>
        <v/>
      </c>
      <c r="AJ27" s="119">
        <f>IF(AND(AD27="Y",C27="3:45 AM",E27="N",J27="Y"),COUNTIFS($AD$2:AD27,"Y",$C$2:C27,"3:45 AM",$E$2:E27,"N",$J$2:J27,"Y"),"")</f>
        <v/>
      </c>
      <c r="AK27" s="119">
        <f>IF(AND(AD27="Y",E27="N",I27="Y",OR(C27="3:45 AM",C27="5:45 AM")),SUMPRODUCT(($AD$2:AD27="Y")*($E$2:E27="N")*($I$2:I27="Y")*(($C$2:C27="3:45 AM")+($C$2:C27="5:45 AM"))), "")</f>
        <v/>
      </c>
      <c r="AL27" s="119">
        <f>IF(AND(AD27="Y",C27="12:15 PM",E27="N",K27&lt;&gt;"Y"),COUNTIFS($AD$2:AD27,"Y",$C$2:C27,"12:15 PM",$E$2:E27,"N",$K$2:K27,"&lt;&gt;Y"),"")</f>
        <v/>
      </c>
      <c r="AM27" s="119">
        <f>IF(AND(AD27="Y",C27="2:00 PM",E27="N",K27&lt;&gt;"Y"),COUNTIFS($AD$2:AD27,"Y",$C$2:C27,"2:00 PM",$E$2:E27,"N",$K$2:K27,"&lt;&gt;Y"),"")</f>
        <v/>
      </c>
      <c r="AN27" s="119">
        <f>IF(AND(AD27="Y",E27="N",K27="Y",OR(C27="12:15 PM",C27="2:00 PM")),SUMPRODUCT(($AD$2:AD27="Y")*($E$2:E27="N")*($K$2:K27="Y")*(($C$2:C27="12:15 PM")+($C$2:C27="2:00 PM"))), "")</f>
        <v/>
      </c>
      <c r="AO27" s="119">
        <f>IF(AND(AD27="Y",C27="12:15 PM",E27="N",L27="Y"),COUNTIFS($AD$2:AD27,"Y",$C$2:C27,"12:15 PM",$E$2:E27,"N",$L$2:L27,"Y"),"")</f>
        <v/>
      </c>
      <c r="AP27" s="119">
        <f>IF(AND(AD27="Y",C27="2:00 PM",E27="N",L27="Y"),COUNTIFS($AD$2:AD27,"Y",$C$2:C27,"2:00 PM",$E$2:E27,"N",$L$2:L27,"Y"),"")</f>
        <v/>
      </c>
    </row>
    <row r="28" ht="14.25" customHeight="1" s="120">
      <c r="A28" s="231" t="inlineStr">
        <is>
          <t>EMP-0028</t>
        </is>
      </c>
      <c r="B28" s="232" t="inlineStr">
        <is>
          <t>Brian Lee</t>
        </is>
      </c>
      <c r="C28" s="232" t="inlineStr">
        <is>
          <t>5:45 AM</t>
        </is>
      </c>
      <c r="D28" s="232" t="inlineStr">
        <is>
          <t>Thu, Fri</t>
        </is>
      </c>
      <c r="E28" s="232" t="inlineStr">
        <is>
          <t>N</t>
        </is>
      </c>
      <c r="F28" s="232" t="inlineStr">
        <is>
          <t>N</t>
        </is>
      </c>
      <c r="G28" s="232" t="inlineStr">
        <is>
          <t>Y</t>
        </is>
      </c>
      <c r="H28" s="232" t="inlineStr">
        <is>
          <t>None</t>
        </is>
      </c>
      <c r="I28" s="232" t="inlineStr">
        <is>
          <t>N</t>
        </is>
      </c>
      <c r="J28" s="232" t="inlineStr">
        <is>
          <t>Y</t>
        </is>
      </c>
      <c r="K28" s="232" t="inlineStr">
        <is>
          <t>N</t>
        </is>
      </c>
      <c r="L28" s="232" t="inlineStr">
        <is>
          <t>Y</t>
        </is>
      </c>
      <c r="M28" s="232" t="inlineStr">
        <is>
          <t>Standard</t>
        </is>
      </c>
      <c r="N28" s="232" t="n"/>
      <c r="O28" s="232" t="n"/>
      <c r="P28" s="232" t="inlineStr">
        <is>
          <t>N</t>
        </is>
      </c>
      <c r="Q28" s="232" t="n"/>
      <c r="R28" s="232" t="n"/>
      <c r="S28" s="232" t="n"/>
      <c r="T28" s="233" t="inlineStr">
        <is>
          <t>N</t>
        </is>
      </c>
      <c r="U28" s="227">
        <f>IF($B28="","",IF(AND($G28="Y",ISERROR(SEARCH(TEXT('Control Center'!$B$3,"ddd"),TRIM($D28)))),"Y","N"))</f>
        <v/>
      </c>
      <c r="V28" s="227">
        <f>IF($B28="","",IF(AND($U28="Y",OR($C28="3:45 AM",$C28="5:45 AM"),OR('Control Center'!$B$4="N",$K28&lt;&gt;"Y")),"Y","N"))</f>
        <v/>
      </c>
      <c r="W28" s="227">
        <f>IF($B28="","",IF(AND($U28="Y",OR($C28="12:15 PM",$C28="2:00 PM"),OR('Control Center'!$B$5="N",$K28&lt;&gt;"Y")),"Y","N"))</f>
        <v/>
      </c>
      <c r="X28" s="228" t="n"/>
      <c r="Y28" s="229" t="n"/>
      <c r="Z28" s="228" t="n"/>
      <c r="AA28" s="229" t="n"/>
      <c r="AB28" s="230">
        <f>IF($B28="","",IF($P28="Y",IF($Y28="Y","Completed","In Progress"),""))</f>
        <v/>
      </c>
      <c r="AC28" s="119">
        <f>IF($B28="","",IF(COUNTIFS('Approved Absences'!$A$2:$A$200,$B28,'Approved Absences'!$B$2:$B$200,"&lt;="&amp;INT('Control Center'!$B$3),'Approved Absences'!$C$2:$C$200,"&gt;="&amp;INT('Control Center'!$B$3))&gt;0,"Y","N"))</f>
        <v/>
      </c>
      <c r="AD28" s="119">
        <f>IF($B28="","",IF(AND($G28="Y",$AC28&lt;&gt;"Y",ISERROR(SEARCH(TEXT('Control Center'!$B$3,"ddd"),TRIM($D28)))),"Y","N"))</f>
        <v/>
      </c>
      <c r="AE28" s="119">
        <f>IF(AND(AD28="Y",C28="3:45 AM",E28="N",K28&lt;&gt;"Y"),COUNTIFS($AD$2:AD28,"Y",$C$2:C28,"3:45 AM",$E$2:E28,"N",$K$2:K28,"&lt;&gt;Y"),"")</f>
        <v/>
      </c>
      <c r="AF28" s="119">
        <f>IF(AND(AD28="Y",C28="5:45 AM",E28="N",K28&lt;&gt;"Y"),COUNTIFS($AD$2:AD28,"Y",$C$2:C28,"5:45 AM",$E$2:E28,"N",$K$2:K28,"&lt;&gt;Y"),"")</f>
        <v/>
      </c>
      <c r="AG28" s="119">
        <f>IF(AND(AD28="Y",C28="3:45 AM",E28="N",L28="Y",K28&lt;&gt;"Y"),COUNTIFS($AD$2:AD28,"Y",$C$2:C28,"3:45 AM",$E$2:E28,"N",$L$2:L28,"Y",$K$2:K28,"&lt;&gt;Y"),"")</f>
        <v/>
      </c>
      <c r="AH28" s="119">
        <f>IF(AND(AD28="Y",C28="5:45 AM",E28="N",L28="Y",K28&lt;&gt;"Y"),COUNTIFS($AD$2:AD28,"Y",$C$2:C28,"5:45 AM",$E$2:E28,"N",$L$2:L28,"Y",$K$2:K28,"&lt;&gt;Y"),"")</f>
        <v/>
      </c>
      <c r="AI28" s="119">
        <f>IF(AND(AD28="Y",E28="N",K28="Y",OR(C28="3:45 AM",C28="5:45 AM")),SUMPRODUCT(($AD$2:AD28="Y")*($E$2:E28="N")*($K$2:K28="Y")*(($C$2:C28="3:45 AM")+($C$2:C28="5:45 AM"))), "")</f>
        <v/>
      </c>
      <c r="AJ28" s="119">
        <f>IF(AND(AD28="Y",C28="3:45 AM",E28="N",J28="Y"),COUNTIFS($AD$2:AD28,"Y",$C$2:C28,"3:45 AM",$E$2:E28,"N",$J$2:J28,"Y"),"")</f>
        <v/>
      </c>
      <c r="AK28" s="119">
        <f>IF(AND(AD28="Y",E28="N",I28="Y",OR(C28="3:45 AM",C28="5:45 AM")),SUMPRODUCT(($AD$2:AD28="Y")*($E$2:E28="N")*($I$2:I28="Y")*(($C$2:C28="3:45 AM")+($C$2:C28="5:45 AM"))), "")</f>
        <v/>
      </c>
      <c r="AL28" s="119">
        <f>IF(AND(AD28="Y",C28="12:15 PM",E28="N",K28&lt;&gt;"Y"),COUNTIFS($AD$2:AD28,"Y",$C$2:C28,"12:15 PM",$E$2:E28,"N",$K$2:K28,"&lt;&gt;Y"),"")</f>
        <v/>
      </c>
      <c r="AM28" s="119">
        <f>IF(AND(AD28="Y",C28="2:00 PM",E28="N",K28&lt;&gt;"Y"),COUNTIFS($AD$2:AD28,"Y",$C$2:C28,"2:00 PM",$E$2:E28,"N",$K$2:K28,"&lt;&gt;Y"),"")</f>
        <v/>
      </c>
      <c r="AN28" s="119">
        <f>IF(AND(AD28="Y",E28="N",K28="Y",OR(C28="12:15 PM",C28="2:00 PM")),SUMPRODUCT(($AD$2:AD28="Y")*($E$2:E28="N")*($K$2:K28="Y")*(($C$2:C28="12:15 PM")+($C$2:C28="2:00 PM"))), "")</f>
        <v/>
      </c>
      <c r="AO28" s="119">
        <f>IF(AND(AD28="Y",C28="12:15 PM",E28="N",L28="Y"),COUNTIFS($AD$2:AD28,"Y",$C$2:C28,"12:15 PM",$E$2:E28,"N",$L$2:L28,"Y"),"")</f>
        <v/>
      </c>
      <c r="AP28" s="119">
        <f>IF(AND(AD28="Y",C28="2:00 PM",E28="N",L28="Y"),COUNTIFS($AD$2:AD28,"Y",$C$2:C28,"2:00 PM",$E$2:E28,"N",$L$2:L28,"Y"),"")</f>
        <v/>
      </c>
    </row>
    <row r="29" ht="14.25" customHeight="1" s="120">
      <c r="A29" s="231" t="inlineStr">
        <is>
          <t>EMP-0029</t>
        </is>
      </c>
      <c r="B29" s="232" t="inlineStr">
        <is>
          <t>Brianna Bryant</t>
        </is>
      </c>
      <c r="C29" s="232" t="inlineStr">
        <is>
          <t>3:45 AM</t>
        </is>
      </c>
      <c r="D29" s="232" t="inlineStr">
        <is>
          <t>Tue, Wed</t>
        </is>
      </c>
      <c r="E29" s="232" t="inlineStr">
        <is>
          <t>N</t>
        </is>
      </c>
      <c r="F29" s="232" t="inlineStr">
        <is>
          <t>N</t>
        </is>
      </c>
      <c r="G29" s="232" t="inlineStr">
        <is>
          <t>Y</t>
        </is>
      </c>
      <c r="H29" s="232" t="inlineStr">
        <is>
          <t>None</t>
        </is>
      </c>
      <c r="I29" s="232" t="inlineStr">
        <is>
          <t>N</t>
        </is>
      </c>
      <c r="J29" s="232" t="inlineStr">
        <is>
          <t>N</t>
        </is>
      </c>
      <c r="K29" s="232" t="inlineStr">
        <is>
          <t>N</t>
        </is>
      </c>
      <c r="L29" s="232" t="inlineStr">
        <is>
          <t>Y</t>
        </is>
      </c>
      <c r="M29" s="232" t="inlineStr">
        <is>
          <t>Standard</t>
        </is>
      </c>
      <c r="N29" s="232" t="n"/>
      <c r="O29" s="232" t="n"/>
      <c r="P29" s="232" t="inlineStr">
        <is>
          <t>N</t>
        </is>
      </c>
      <c r="Q29" s="232" t="n"/>
      <c r="R29" s="232" t="n"/>
      <c r="S29" s="232" t="n"/>
      <c r="T29" s="233" t="inlineStr">
        <is>
          <t>N</t>
        </is>
      </c>
      <c r="U29" s="227">
        <f>IF($B29="","",IF(AND($G29="Y",ISERROR(SEARCH(TEXT('Control Center'!$B$3,"ddd"),TRIM($D29)))),"Y","N"))</f>
        <v/>
      </c>
      <c r="V29" s="227">
        <f>IF($B29="","",IF(AND($U29="Y",OR($C29="3:45 AM",$C29="5:45 AM"),OR('Control Center'!$B$4="N",$K29&lt;&gt;"Y")),"Y","N"))</f>
        <v/>
      </c>
      <c r="W29" s="227">
        <f>IF($B29="","",IF(AND($U29="Y",OR($C29="12:15 PM",$C29="2:00 PM"),OR('Control Center'!$B$5="N",$K29&lt;&gt;"Y")),"Y","N"))</f>
        <v/>
      </c>
      <c r="X29" s="228" t="n"/>
      <c r="Y29" s="229" t="n"/>
      <c r="Z29" s="228" t="n"/>
      <c r="AA29" s="229" t="n"/>
      <c r="AB29" s="230">
        <f>IF($B29="","",IF($P29="Y",IF($Y29="Y","Completed","In Progress"),""))</f>
        <v/>
      </c>
      <c r="AC29" s="119">
        <f>IF($B29="","",IF(COUNTIFS('Approved Absences'!$A$2:$A$200,$B29,'Approved Absences'!$B$2:$B$200,"&lt;="&amp;INT('Control Center'!$B$3),'Approved Absences'!$C$2:$C$200,"&gt;="&amp;INT('Control Center'!$B$3))&gt;0,"Y","N"))</f>
        <v/>
      </c>
      <c r="AD29" s="119">
        <f>IF($B29="","",IF(AND($G29="Y",$AC29&lt;&gt;"Y",ISERROR(SEARCH(TEXT('Control Center'!$B$3,"ddd"),TRIM($D29)))),"Y","N"))</f>
        <v/>
      </c>
      <c r="AE29" s="119">
        <f>IF(AND(AD29="Y",C29="3:45 AM",E29="N",K29&lt;&gt;"Y"),COUNTIFS($AD$2:AD29,"Y",$C$2:C29,"3:45 AM",$E$2:E29,"N",$K$2:K29,"&lt;&gt;Y"),"")</f>
        <v/>
      </c>
      <c r="AF29" s="119">
        <f>IF(AND(AD29="Y",C29="5:45 AM",E29="N",K29&lt;&gt;"Y"),COUNTIFS($AD$2:AD29,"Y",$C$2:C29,"5:45 AM",$E$2:E29,"N",$K$2:K29,"&lt;&gt;Y"),"")</f>
        <v/>
      </c>
      <c r="AG29" s="119">
        <f>IF(AND(AD29="Y",C29="3:45 AM",E29="N",L29="Y",K29&lt;&gt;"Y"),COUNTIFS($AD$2:AD29,"Y",$C$2:C29,"3:45 AM",$E$2:E29,"N",$L$2:L29,"Y",$K$2:K29,"&lt;&gt;Y"),"")</f>
        <v/>
      </c>
      <c r="AH29" s="119">
        <f>IF(AND(AD29="Y",C29="5:45 AM",E29="N",L29="Y",K29&lt;&gt;"Y"),COUNTIFS($AD$2:AD29,"Y",$C$2:C29,"5:45 AM",$E$2:E29,"N",$L$2:L29,"Y",$K$2:K29,"&lt;&gt;Y"),"")</f>
        <v/>
      </c>
      <c r="AI29" s="119">
        <f>IF(AND(AD29="Y",E29="N",K29="Y",OR(C29="3:45 AM",C29="5:45 AM")),SUMPRODUCT(($AD$2:AD29="Y")*($E$2:E29="N")*($K$2:K29="Y")*(($C$2:C29="3:45 AM")+($C$2:C29="5:45 AM"))), "")</f>
        <v/>
      </c>
      <c r="AJ29" s="119">
        <f>IF(AND(AD29="Y",C29="3:45 AM",E29="N",J29="Y"),COUNTIFS($AD$2:AD29,"Y",$C$2:C29,"3:45 AM",$E$2:E29,"N",$J$2:J29,"Y"),"")</f>
        <v/>
      </c>
      <c r="AK29" s="119">
        <f>IF(AND(AD29="Y",E29="N",I29="Y",OR(C29="3:45 AM",C29="5:45 AM")),SUMPRODUCT(($AD$2:AD29="Y")*($E$2:E29="N")*($I$2:I29="Y")*(($C$2:C29="3:45 AM")+($C$2:C29="5:45 AM"))), "")</f>
        <v/>
      </c>
      <c r="AL29" s="119">
        <f>IF(AND(AD29="Y",C29="12:15 PM",E29="N",K29&lt;&gt;"Y"),COUNTIFS($AD$2:AD29,"Y",$C$2:C29,"12:15 PM",$E$2:E29,"N",$K$2:K29,"&lt;&gt;Y"),"")</f>
        <v/>
      </c>
      <c r="AM29" s="119">
        <f>IF(AND(AD29="Y",C29="2:00 PM",E29="N",K29&lt;&gt;"Y"),COUNTIFS($AD$2:AD29,"Y",$C$2:C29,"2:00 PM",$E$2:E29,"N",$K$2:K29,"&lt;&gt;Y"),"")</f>
        <v/>
      </c>
      <c r="AN29" s="119">
        <f>IF(AND(AD29="Y",E29="N",K29="Y",OR(C29="12:15 PM",C29="2:00 PM")),SUMPRODUCT(($AD$2:AD29="Y")*($E$2:E29="N")*($K$2:K29="Y")*(($C$2:C29="12:15 PM")+($C$2:C29="2:00 PM"))), "")</f>
        <v/>
      </c>
      <c r="AO29" s="119">
        <f>IF(AND(AD29="Y",C29="12:15 PM",E29="N",L29="Y"),COUNTIFS($AD$2:AD29,"Y",$C$2:C29,"12:15 PM",$E$2:E29,"N",$L$2:L29,"Y"),"")</f>
        <v/>
      </c>
      <c r="AP29" s="119">
        <f>IF(AND(AD29="Y",C29="2:00 PM",E29="N",L29="Y"),COUNTIFS($AD$2:AD29,"Y",$C$2:C29,"2:00 PM",$E$2:E29,"N",$L$2:L29,"Y"),"")</f>
        <v/>
      </c>
    </row>
    <row r="30" ht="14.25" customHeight="1" s="120">
      <c r="A30" s="231" t="inlineStr">
        <is>
          <t>EMP-0030</t>
        </is>
      </c>
      <c r="B30" s="232" t="inlineStr">
        <is>
          <t>Brittany Gaither</t>
        </is>
      </c>
      <c r="C30" s="232" t="inlineStr">
        <is>
          <t>3:45 AM</t>
        </is>
      </c>
      <c r="D30" s="232" t="inlineStr">
        <is>
          <t>Mon, Tue</t>
        </is>
      </c>
      <c r="E30" s="232" t="inlineStr">
        <is>
          <t>N</t>
        </is>
      </c>
      <c r="F30" s="232" t="inlineStr">
        <is>
          <t>N</t>
        </is>
      </c>
      <c r="G30" s="232" t="inlineStr">
        <is>
          <t>Y</t>
        </is>
      </c>
      <c r="H30" s="232" t="inlineStr">
        <is>
          <t>None</t>
        </is>
      </c>
      <c r="I30" s="232" t="inlineStr">
        <is>
          <t>Y</t>
        </is>
      </c>
      <c r="J30" s="232" t="inlineStr">
        <is>
          <t>N</t>
        </is>
      </c>
      <c r="K30" s="232" t="inlineStr">
        <is>
          <t>N</t>
        </is>
      </c>
      <c r="L30" s="232" t="inlineStr">
        <is>
          <t>Y</t>
        </is>
      </c>
      <c r="M30" s="232" t="inlineStr">
        <is>
          <t>Standard</t>
        </is>
      </c>
      <c r="N30" s="232" t="n"/>
      <c r="O30" s="232" t="n"/>
      <c r="P30" s="232" t="inlineStr">
        <is>
          <t>N</t>
        </is>
      </c>
      <c r="Q30" s="232" t="n"/>
      <c r="R30" s="232" t="n"/>
      <c r="S30" s="232" t="n"/>
      <c r="T30" s="233" t="inlineStr">
        <is>
          <t>N</t>
        </is>
      </c>
      <c r="U30" s="227">
        <f>IF($B30="","",IF(AND($G30="Y",ISERROR(SEARCH(TEXT('Control Center'!$B$3,"ddd"),TRIM($D30)))),"Y","N"))</f>
        <v/>
      </c>
      <c r="V30" s="227">
        <f>IF($B30="","",IF(AND($U30="Y",OR($C30="3:45 AM",$C30="5:45 AM"),OR('Control Center'!$B$4="N",$K30&lt;&gt;"Y")),"Y","N"))</f>
        <v/>
      </c>
      <c r="W30" s="227">
        <f>IF($B30="","",IF(AND($U30="Y",OR($C30="12:15 PM",$C30="2:00 PM"),OR('Control Center'!$B$5="N",$K30&lt;&gt;"Y")),"Y","N"))</f>
        <v/>
      </c>
      <c r="X30" s="228" t="n"/>
      <c r="Y30" s="229" t="n"/>
      <c r="Z30" s="228" t="n"/>
      <c r="AA30" s="229" t="n"/>
      <c r="AB30" s="230">
        <f>IF($B30="","",IF($P30="Y",IF($Y30="Y","Completed","In Progress"),""))</f>
        <v/>
      </c>
      <c r="AC30" s="119">
        <f>IF($B30="","",IF(COUNTIFS('Approved Absences'!$A$2:$A$200,$B30,'Approved Absences'!$B$2:$B$200,"&lt;="&amp;INT('Control Center'!$B$3),'Approved Absences'!$C$2:$C$200,"&gt;="&amp;INT('Control Center'!$B$3))&gt;0,"Y","N"))</f>
        <v/>
      </c>
      <c r="AD30" s="119">
        <f>IF($B30="","",IF(AND($G30="Y",$AC30&lt;&gt;"Y",ISERROR(SEARCH(TEXT('Control Center'!$B$3,"ddd"),TRIM($D30)))),"Y","N"))</f>
        <v/>
      </c>
      <c r="AE30" s="119">
        <f>IF(AND(AD30="Y",C30="3:45 AM",E30="N",K30&lt;&gt;"Y"),COUNTIFS($AD$2:AD30,"Y",$C$2:C30,"3:45 AM",$E$2:E30,"N",$K$2:K30,"&lt;&gt;Y"),"")</f>
        <v/>
      </c>
      <c r="AF30" s="119">
        <f>IF(AND(AD30="Y",C30="5:45 AM",E30="N",K30&lt;&gt;"Y"),COUNTIFS($AD$2:AD30,"Y",$C$2:C30,"5:45 AM",$E$2:E30,"N",$K$2:K30,"&lt;&gt;Y"),"")</f>
        <v/>
      </c>
      <c r="AG30" s="119">
        <f>IF(AND(AD30="Y",C30="3:45 AM",E30="N",L30="Y",K30&lt;&gt;"Y"),COUNTIFS($AD$2:AD30,"Y",$C$2:C30,"3:45 AM",$E$2:E30,"N",$L$2:L30,"Y",$K$2:K30,"&lt;&gt;Y"),"")</f>
        <v/>
      </c>
      <c r="AH30" s="119">
        <f>IF(AND(AD30="Y",C30="5:45 AM",E30="N",L30="Y",K30&lt;&gt;"Y"),COUNTIFS($AD$2:AD30,"Y",$C$2:C30,"5:45 AM",$E$2:E30,"N",$L$2:L30,"Y",$K$2:K30,"&lt;&gt;Y"),"")</f>
        <v/>
      </c>
      <c r="AI30" s="119">
        <f>IF(AND(AD30="Y",E30="N",K30="Y",OR(C30="3:45 AM",C30="5:45 AM")),SUMPRODUCT(($AD$2:AD30="Y")*($E$2:E30="N")*($K$2:K30="Y")*(($C$2:C30="3:45 AM")+($C$2:C30="5:45 AM"))), "")</f>
        <v/>
      </c>
      <c r="AJ30" s="119">
        <f>IF(AND(AD30="Y",C30="3:45 AM",E30="N",J30="Y"),COUNTIFS($AD$2:AD30,"Y",$C$2:C30,"3:45 AM",$E$2:E30,"N",$J$2:J30,"Y"),"")</f>
        <v/>
      </c>
      <c r="AK30" s="119">
        <f>IF(AND(AD30="Y",E30="N",I30="Y",OR(C30="3:45 AM",C30="5:45 AM")),SUMPRODUCT(($AD$2:AD30="Y")*($E$2:E30="N")*($I$2:I30="Y")*(($C$2:C30="3:45 AM")+($C$2:C30="5:45 AM"))), "")</f>
        <v/>
      </c>
      <c r="AL30" s="119">
        <f>IF(AND(AD30="Y",C30="12:15 PM",E30="N",K30&lt;&gt;"Y"),COUNTIFS($AD$2:AD30,"Y",$C$2:C30,"12:15 PM",$E$2:E30,"N",$K$2:K30,"&lt;&gt;Y"),"")</f>
        <v/>
      </c>
      <c r="AM30" s="119">
        <f>IF(AND(AD30="Y",C30="2:00 PM",E30="N",K30&lt;&gt;"Y"),COUNTIFS($AD$2:AD30,"Y",$C$2:C30,"2:00 PM",$E$2:E30,"N",$K$2:K30,"&lt;&gt;Y"),"")</f>
        <v/>
      </c>
      <c r="AN30" s="119">
        <f>IF(AND(AD30="Y",E30="N",K30="Y",OR(C30="12:15 PM",C30="2:00 PM")),SUMPRODUCT(($AD$2:AD30="Y")*($E$2:E30="N")*($K$2:K30="Y")*(($C$2:C30="12:15 PM")+($C$2:C30="2:00 PM"))), "")</f>
        <v/>
      </c>
      <c r="AO30" s="119">
        <f>IF(AND(AD30="Y",C30="12:15 PM",E30="N",L30="Y"),COUNTIFS($AD$2:AD30,"Y",$C$2:C30,"12:15 PM",$E$2:E30,"N",$L$2:L30,"Y"),"")</f>
        <v/>
      </c>
      <c r="AP30" s="119">
        <f>IF(AND(AD30="Y",C30="2:00 PM",E30="N",L30="Y"),COUNTIFS($AD$2:AD30,"Y",$C$2:C30,"2:00 PM",$E$2:E30,"N",$L$2:L30,"Y"),"")</f>
        <v/>
      </c>
    </row>
    <row r="31" ht="14.25" customHeight="1" s="120">
      <c r="A31" s="231" t="inlineStr">
        <is>
          <t>EMP-0031</t>
        </is>
      </c>
      <c r="B31" s="232" t="inlineStr">
        <is>
          <t>Brittney Quave</t>
        </is>
      </c>
      <c r="C31" s="232" t="inlineStr">
        <is>
          <t>12:15 PM</t>
        </is>
      </c>
      <c r="D31" s="232" t="inlineStr">
        <is>
          <t>Thu, Fri</t>
        </is>
      </c>
      <c r="E31" s="232" t="inlineStr">
        <is>
          <t>N</t>
        </is>
      </c>
      <c r="F31" s="232" t="inlineStr">
        <is>
          <t>N</t>
        </is>
      </c>
      <c r="G31" s="232" t="inlineStr">
        <is>
          <t>Y</t>
        </is>
      </c>
      <c r="H31" s="232" t="inlineStr">
        <is>
          <t>None</t>
        </is>
      </c>
      <c r="I31" s="232" t="inlineStr">
        <is>
          <t>N</t>
        </is>
      </c>
      <c r="J31" s="232" t="inlineStr">
        <is>
          <t>N</t>
        </is>
      </c>
      <c r="K31" s="232" t="inlineStr">
        <is>
          <t>N</t>
        </is>
      </c>
      <c r="L31" s="232" t="inlineStr">
        <is>
          <t>Y</t>
        </is>
      </c>
      <c r="M31" s="232" t="inlineStr">
        <is>
          <t>Standard</t>
        </is>
      </c>
      <c r="N31" s="232" t="n"/>
      <c r="O31" s="232" t="n"/>
      <c r="P31" s="232" t="inlineStr">
        <is>
          <t>N</t>
        </is>
      </c>
      <c r="Q31" s="232" t="n"/>
      <c r="R31" s="232" t="n"/>
      <c r="S31" s="232" t="n"/>
      <c r="T31" s="233" t="inlineStr">
        <is>
          <t>N</t>
        </is>
      </c>
      <c r="U31" s="227">
        <f>IF($B31="","",IF(AND($G31="Y",ISERROR(SEARCH(TEXT('Control Center'!$B$3,"ddd"),TRIM($D31)))),"Y","N"))</f>
        <v/>
      </c>
      <c r="V31" s="227">
        <f>IF($B31="","",IF(AND($U31="Y",OR($C31="3:45 AM",$C31="5:45 AM"),OR('Control Center'!$B$4="N",$K31&lt;&gt;"Y")),"Y","N"))</f>
        <v/>
      </c>
      <c r="W31" s="227">
        <f>IF($B31="","",IF(AND($U31="Y",OR($C31="12:15 PM",$C31="2:00 PM"),OR('Control Center'!$B$5="N",$K31&lt;&gt;"Y")),"Y","N"))</f>
        <v/>
      </c>
      <c r="X31" s="228" t="n"/>
      <c r="Y31" s="229" t="n"/>
      <c r="Z31" s="228" t="n"/>
      <c r="AA31" s="229" t="n"/>
      <c r="AB31" s="230">
        <f>IF($B31="","",IF($P31="Y",IF($Y31="Y","Completed","In Progress"),""))</f>
        <v/>
      </c>
      <c r="AC31" s="119">
        <f>IF($B31="","",IF(COUNTIFS('Approved Absences'!$A$2:$A$200,$B31,'Approved Absences'!$B$2:$B$200,"&lt;="&amp;INT('Control Center'!$B$3),'Approved Absences'!$C$2:$C$200,"&gt;="&amp;INT('Control Center'!$B$3))&gt;0,"Y","N"))</f>
        <v/>
      </c>
      <c r="AD31" s="119">
        <f>IF($B31="","",IF(AND($G31="Y",$AC31&lt;&gt;"Y",ISERROR(SEARCH(TEXT('Control Center'!$B$3,"ddd"),TRIM($D31)))),"Y","N"))</f>
        <v/>
      </c>
      <c r="AE31" s="119">
        <f>IF(AND(AD31="Y",C31="3:45 AM",E31="N",K31&lt;&gt;"Y"),COUNTIFS($AD$2:AD31,"Y",$C$2:C31,"3:45 AM",$E$2:E31,"N",$K$2:K31,"&lt;&gt;Y"),"")</f>
        <v/>
      </c>
      <c r="AF31" s="119">
        <f>IF(AND(AD31="Y",C31="5:45 AM",E31="N",K31&lt;&gt;"Y"),COUNTIFS($AD$2:AD31,"Y",$C$2:C31,"5:45 AM",$E$2:E31,"N",$K$2:K31,"&lt;&gt;Y"),"")</f>
        <v/>
      </c>
      <c r="AG31" s="119">
        <f>IF(AND(AD31="Y",C31="3:45 AM",E31="N",L31="Y",K31&lt;&gt;"Y"),COUNTIFS($AD$2:AD31,"Y",$C$2:C31,"3:45 AM",$E$2:E31,"N",$L$2:L31,"Y",$K$2:K31,"&lt;&gt;Y"),"")</f>
        <v/>
      </c>
      <c r="AH31" s="119">
        <f>IF(AND(AD31="Y",C31="5:45 AM",E31="N",L31="Y",K31&lt;&gt;"Y"),COUNTIFS($AD$2:AD31,"Y",$C$2:C31,"5:45 AM",$E$2:E31,"N",$L$2:L31,"Y",$K$2:K31,"&lt;&gt;Y"),"")</f>
        <v/>
      </c>
      <c r="AI31" s="119">
        <f>IF(AND(AD31="Y",E31="N",K31="Y",OR(C31="3:45 AM",C31="5:45 AM")),SUMPRODUCT(($AD$2:AD31="Y")*($E$2:E31="N")*($K$2:K31="Y")*(($C$2:C31="3:45 AM")+($C$2:C31="5:45 AM"))), "")</f>
        <v/>
      </c>
      <c r="AJ31" s="119">
        <f>IF(AND(AD31="Y",C31="3:45 AM",E31="N",J31="Y"),COUNTIFS($AD$2:AD31,"Y",$C$2:C31,"3:45 AM",$E$2:E31,"N",$J$2:J31,"Y"),"")</f>
        <v/>
      </c>
      <c r="AK31" s="119">
        <f>IF(AND(AD31="Y",E31="N",I31="Y",OR(C31="3:45 AM",C31="5:45 AM")),SUMPRODUCT(($AD$2:AD31="Y")*($E$2:E31="N")*($I$2:I31="Y")*(($C$2:C31="3:45 AM")+($C$2:C31="5:45 AM"))), "")</f>
        <v/>
      </c>
      <c r="AL31" s="119">
        <f>IF(AND(AD31="Y",C31="12:15 PM",E31="N",K31&lt;&gt;"Y"),COUNTIFS($AD$2:AD31,"Y",$C$2:C31,"12:15 PM",$E$2:E31,"N",$K$2:K31,"&lt;&gt;Y"),"")</f>
        <v/>
      </c>
      <c r="AM31" s="119">
        <f>IF(AND(AD31="Y",C31="2:00 PM",E31="N",K31&lt;&gt;"Y"),COUNTIFS($AD$2:AD31,"Y",$C$2:C31,"2:00 PM",$E$2:E31,"N",$K$2:K31,"&lt;&gt;Y"),"")</f>
        <v/>
      </c>
      <c r="AN31" s="119">
        <f>IF(AND(AD31="Y",E31="N",K31="Y",OR(C31="12:15 PM",C31="2:00 PM")),SUMPRODUCT(($AD$2:AD31="Y")*($E$2:E31="N")*($K$2:K31="Y")*(($C$2:C31="12:15 PM")+($C$2:C31="2:00 PM"))), "")</f>
        <v/>
      </c>
      <c r="AO31" s="119">
        <f>IF(AND(AD31="Y",C31="12:15 PM",E31="N",L31="Y"),COUNTIFS($AD$2:AD31,"Y",$C$2:C31,"12:15 PM",$E$2:E31,"N",$L$2:L31,"Y"),"")</f>
        <v/>
      </c>
      <c r="AP31" s="119">
        <f>IF(AND(AD31="Y",C31="2:00 PM",E31="N",L31="Y"),COUNTIFS($AD$2:AD31,"Y",$C$2:C31,"2:00 PM",$E$2:E31,"N",$L$2:L31,"Y"),"")</f>
        <v/>
      </c>
    </row>
    <row r="32" ht="14.25" customHeight="1" s="120">
      <c r="A32" s="231" t="inlineStr">
        <is>
          <t>EMP-0032</t>
        </is>
      </c>
      <c r="B32" s="232" t="inlineStr">
        <is>
          <t>Camille Muhammad</t>
        </is>
      </c>
      <c r="C32" s="232" t="inlineStr">
        <is>
          <t>9:15 PM</t>
        </is>
      </c>
      <c r="D32" s="232" t="inlineStr">
        <is>
          <t>Thu, Fri</t>
        </is>
      </c>
      <c r="E32" s="232" t="inlineStr">
        <is>
          <t>N</t>
        </is>
      </c>
      <c r="F32" s="232" t="inlineStr">
        <is>
          <t>N</t>
        </is>
      </c>
      <c r="G32" s="232" t="inlineStr">
        <is>
          <t>Y</t>
        </is>
      </c>
      <c r="H32" s="232" t="inlineStr">
        <is>
          <t>None</t>
        </is>
      </c>
      <c r="I32" s="232" t="inlineStr">
        <is>
          <t>Y</t>
        </is>
      </c>
      <c r="J32" s="232" t="inlineStr">
        <is>
          <t>N</t>
        </is>
      </c>
      <c r="K32" s="232" t="inlineStr">
        <is>
          <t>N</t>
        </is>
      </c>
      <c r="L32" s="232" t="inlineStr">
        <is>
          <t>Y</t>
        </is>
      </c>
      <c r="M32" s="232" t="inlineStr">
        <is>
          <t>Standard</t>
        </is>
      </c>
      <c r="N32" s="232" t="n"/>
      <c r="O32" s="232" t="n"/>
      <c r="P32" s="232" t="inlineStr">
        <is>
          <t>N</t>
        </is>
      </c>
      <c r="Q32" s="232" t="n"/>
      <c r="R32" s="232" t="n"/>
      <c r="S32" s="232" t="n"/>
      <c r="T32" s="233" t="inlineStr">
        <is>
          <t>N</t>
        </is>
      </c>
      <c r="U32" s="227">
        <f>IF($B32="","",IF(AND($G32="Y",ISERROR(SEARCH(TEXT('Control Center'!$B$3,"ddd"),TRIM($D32)))),"Y","N"))</f>
        <v/>
      </c>
      <c r="V32" s="227">
        <f>IF($B32="","",IF(AND($U32="Y",OR($C32="3:45 AM",$C32="5:45 AM"),OR('Control Center'!$B$4="N",$K32&lt;&gt;"Y")),"Y","N"))</f>
        <v/>
      </c>
      <c r="W32" s="227">
        <f>IF($B32="","",IF(AND($U32="Y",OR($C32="12:15 PM",$C32="2:00 PM"),OR('Control Center'!$B$5="N",$K32&lt;&gt;"Y")),"Y","N"))</f>
        <v/>
      </c>
      <c r="X32" s="228" t="n"/>
      <c r="Y32" s="229" t="n"/>
      <c r="Z32" s="228" t="n"/>
      <c r="AA32" s="229" t="n"/>
      <c r="AB32" s="230">
        <f>IF($B32="","",IF($P32="Y",IF($Y32="Y","Completed","In Progress"),""))</f>
        <v/>
      </c>
      <c r="AC32" s="119">
        <f>IF($B32="","",IF(COUNTIFS('Approved Absences'!$A$2:$A$200,$B32,'Approved Absences'!$B$2:$B$200,"&lt;="&amp;INT('Control Center'!$B$3),'Approved Absences'!$C$2:$C$200,"&gt;="&amp;INT('Control Center'!$B$3))&gt;0,"Y","N"))</f>
        <v/>
      </c>
      <c r="AD32" s="119">
        <f>IF($B32="","",IF(AND($G32="Y",$AC32&lt;&gt;"Y",ISERROR(SEARCH(TEXT('Control Center'!$B$3,"ddd"),TRIM($D32)))),"Y","N"))</f>
        <v/>
      </c>
      <c r="AE32" s="119">
        <f>IF(AND(AD32="Y",C32="3:45 AM",E32="N",K32&lt;&gt;"Y"),COUNTIFS($AD$2:AD32,"Y",$C$2:C32,"3:45 AM",$E$2:E32,"N",$K$2:K32,"&lt;&gt;Y"),"")</f>
        <v/>
      </c>
      <c r="AF32" s="119">
        <f>IF(AND(AD32="Y",C32="5:45 AM",E32="N",K32&lt;&gt;"Y"),COUNTIFS($AD$2:AD32,"Y",$C$2:C32,"5:45 AM",$E$2:E32,"N",$K$2:K32,"&lt;&gt;Y"),"")</f>
        <v/>
      </c>
      <c r="AG32" s="119">
        <f>IF(AND(AD32="Y",C32="3:45 AM",E32="N",L32="Y",K32&lt;&gt;"Y"),COUNTIFS($AD$2:AD32,"Y",$C$2:C32,"3:45 AM",$E$2:E32,"N",$L$2:L32,"Y",$K$2:K32,"&lt;&gt;Y"),"")</f>
        <v/>
      </c>
      <c r="AH32" s="119">
        <f>IF(AND(AD32="Y",C32="5:45 AM",E32="N",L32="Y",K32&lt;&gt;"Y"),COUNTIFS($AD$2:AD32,"Y",$C$2:C32,"5:45 AM",$E$2:E32,"N",$L$2:L32,"Y",$K$2:K32,"&lt;&gt;Y"),"")</f>
        <v/>
      </c>
      <c r="AI32" s="119">
        <f>IF(AND(AD32="Y",E32="N",K32="Y",OR(C32="3:45 AM",C32="5:45 AM")),SUMPRODUCT(($AD$2:AD32="Y")*($E$2:E32="N")*($K$2:K32="Y")*(($C$2:C32="3:45 AM")+($C$2:C32="5:45 AM"))), "")</f>
        <v/>
      </c>
      <c r="AJ32" s="119">
        <f>IF(AND(AD32="Y",C32="3:45 AM",E32="N",J32="Y"),COUNTIFS($AD$2:AD32,"Y",$C$2:C32,"3:45 AM",$E$2:E32,"N",$J$2:J32,"Y"),"")</f>
        <v/>
      </c>
      <c r="AK32" s="119">
        <f>IF(AND(AD32="Y",E32="N",I32="Y",OR(C32="3:45 AM",C32="5:45 AM")),SUMPRODUCT(($AD$2:AD32="Y")*($E$2:E32="N")*($I$2:I32="Y")*(($C$2:C32="3:45 AM")+($C$2:C32="5:45 AM"))), "")</f>
        <v/>
      </c>
      <c r="AL32" s="119">
        <f>IF(AND(AD32="Y",C32="12:15 PM",E32="N",K32&lt;&gt;"Y"),COUNTIFS($AD$2:AD32,"Y",$C$2:C32,"12:15 PM",$E$2:E32,"N",$K$2:K32,"&lt;&gt;Y"),"")</f>
        <v/>
      </c>
      <c r="AM32" s="119">
        <f>IF(AND(AD32="Y",C32="2:00 PM",E32="N",K32&lt;&gt;"Y"),COUNTIFS($AD$2:AD32,"Y",$C$2:C32,"2:00 PM",$E$2:E32,"N",$K$2:K32,"&lt;&gt;Y"),"")</f>
        <v/>
      </c>
      <c r="AN32" s="119">
        <f>IF(AND(AD32="Y",E32="N",K32="Y",OR(C32="12:15 PM",C32="2:00 PM")),SUMPRODUCT(($AD$2:AD32="Y")*($E$2:E32="N")*($K$2:K32="Y")*(($C$2:C32="12:15 PM")+($C$2:C32="2:00 PM"))), "")</f>
        <v/>
      </c>
      <c r="AO32" s="119">
        <f>IF(AND(AD32="Y",C32="12:15 PM",E32="N",L32="Y"),COUNTIFS($AD$2:AD32,"Y",$C$2:C32,"12:15 PM",$E$2:E32,"N",$L$2:L32,"Y"),"")</f>
        <v/>
      </c>
      <c r="AP32" s="119">
        <f>IF(AND(AD32="Y",C32="2:00 PM",E32="N",L32="Y"),COUNTIFS($AD$2:AD32,"Y",$C$2:C32,"2:00 PM",$E$2:E32,"N",$L$2:L32,"Y"),"")</f>
        <v/>
      </c>
    </row>
    <row r="33" ht="14.25" customHeight="1" s="120">
      <c r="A33" s="231" t="inlineStr">
        <is>
          <t>EMP-0033</t>
        </is>
      </c>
      <c r="B33" s="232" t="inlineStr">
        <is>
          <t>Camille Underwood</t>
        </is>
      </c>
      <c r="C33" s="232" t="inlineStr">
        <is>
          <t>9:15 PM</t>
        </is>
      </c>
      <c r="D33" s="232" t="inlineStr">
        <is>
          <t>Thu, Fri</t>
        </is>
      </c>
      <c r="E33" s="232" t="inlineStr">
        <is>
          <t>N</t>
        </is>
      </c>
      <c r="F33" s="232" t="inlineStr">
        <is>
          <t>N</t>
        </is>
      </c>
      <c r="G33" s="232" t="inlineStr">
        <is>
          <t>Y</t>
        </is>
      </c>
      <c r="H33" s="232" t="inlineStr">
        <is>
          <t>None</t>
        </is>
      </c>
      <c r="I33" s="232" t="inlineStr">
        <is>
          <t>Y</t>
        </is>
      </c>
      <c r="J33" s="232" t="inlineStr">
        <is>
          <t>N</t>
        </is>
      </c>
      <c r="K33" s="232" t="inlineStr">
        <is>
          <t>N</t>
        </is>
      </c>
      <c r="L33" s="232" t="inlineStr">
        <is>
          <t>Y</t>
        </is>
      </c>
      <c r="M33" s="232" t="inlineStr">
        <is>
          <t>Standard</t>
        </is>
      </c>
      <c r="N33" s="232" t="n"/>
      <c r="O33" s="232" t="n"/>
      <c r="P33" s="232" t="inlineStr">
        <is>
          <t>N</t>
        </is>
      </c>
      <c r="Q33" s="232" t="n"/>
      <c r="R33" s="232" t="n"/>
      <c r="S33" s="232" t="n"/>
      <c r="T33" s="233" t="inlineStr">
        <is>
          <t>N</t>
        </is>
      </c>
      <c r="U33" s="227">
        <f>IF($B33="","",IF(AND($G33="Y",ISERROR(SEARCH(TEXT('Control Center'!$B$3,"ddd"),TRIM($D33)))),"Y","N"))</f>
        <v/>
      </c>
      <c r="V33" s="227">
        <f>IF($B33="","",IF(AND($U33="Y",OR($C33="3:45 AM",$C33="5:45 AM"),OR('Control Center'!$B$4="N",$K33&lt;&gt;"Y")),"Y","N"))</f>
        <v/>
      </c>
      <c r="W33" s="227">
        <f>IF($B33="","",IF(AND($U33="Y",OR($C33="12:15 PM",$C33="2:00 PM"),OR('Control Center'!$B$5="N",$K33&lt;&gt;"Y")),"Y","N"))</f>
        <v/>
      </c>
      <c r="X33" s="228" t="n"/>
      <c r="Y33" s="229" t="n"/>
      <c r="Z33" s="228" t="n"/>
      <c r="AA33" s="229" t="n"/>
      <c r="AB33" s="230">
        <f>IF($B33="","",IF($P33="Y",IF($Y33="Y","Completed","In Progress"),""))</f>
        <v/>
      </c>
      <c r="AC33" s="119">
        <f>IF($B33="","",IF(COUNTIFS('Approved Absences'!$A$2:$A$200,$B33,'Approved Absences'!$B$2:$B$200,"&lt;="&amp;INT('Control Center'!$B$3),'Approved Absences'!$C$2:$C$200,"&gt;="&amp;INT('Control Center'!$B$3))&gt;0,"Y","N"))</f>
        <v/>
      </c>
      <c r="AD33" s="119">
        <f>IF($B33="","",IF(AND($G33="Y",$AC33&lt;&gt;"Y",ISERROR(SEARCH(TEXT('Control Center'!$B$3,"ddd"),TRIM($D33)))),"Y","N"))</f>
        <v/>
      </c>
      <c r="AE33" s="119">
        <f>IF(AND(AD33="Y",C33="3:45 AM",E33="N",K33&lt;&gt;"Y"),COUNTIFS($AD$2:AD33,"Y",$C$2:C33,"3:45 AM",$E$2:E33,"N",$K$2:K33,"&lt;&gt;Y"),"")</f>
        <v/>
      </c>
      <c r="AF33" s="119">
        <f>IF(AND(AD33="Y",C33="5:45 AM",E33="N",K33&lt;&gt;"Y"),COUNTIFS($AD$2:AD33,"Y",$C$2:C33,"5:45 AM",$E$2:E33,"N",$K$2:K33,"&lt;&gt;Y"),"")</f>
        <v/>
      </c>
      <c r="AG33" s="119">
        <f>IF(AND(AD33="Y",C33="3:45 AM",E33="N",L33="Y",K33&lt;&gt;"Y"),COUNTIFS($AD$2:AD33,"Y",$C$2:C33,"3:45 AM",$E$2:E33,"N",$L$2:L33,"Y",$K$2:K33,"&lt;&gt;Y"),"")</f>
        <v/>
      </c>
      <c r="AH33" s="119">
        <f>IF(AND(AD33="Y",C33="5:45 AM",E33="N",L33="Y",K33&lt;&gt;"Y"),COUNTIFS($AD$2:AD33,"Y",$C$2:C33,"5:45 AM",$E$2:E33,"N",$L$2:L33,"Y",$K$2:K33,"&lt;&gt;Y"),"")</f>
        <v/>
      </c>
      <c r="AI33" s="119">
        <f>IF(AND(AD33="Y",E33="N",K33="Y",OR(C33="3:45 AM",C33="5:45 AM")),SUMPRODUCT(($AD$2:AD33="Y")*($E$2:E33="N")*($K$2:K33="Y")*(($C$2:C33="3:45 AM")+($C$2:C33="5:45 AM"))), "")</f>
        <v/>
      </c>
      <c r="AJ33" s="119">
        <f>IF(AND(AD33="Y",C33="3:45 AM",E33="N",J33="Y"),COUNTIFS($AD$2:AD33,"Y",$C$2:C33,"3:45 AM",$E$2:E33,"N",$J$2:J33,"Y"),"")</f>
        <v/>
      </c>
      <c r="AK33" s="119">
        <f>IF(AND(AD33="Y",E33="N",I33="Y",OR(C33="3:45 AM",C33="5:45 AM")),SUMPRODUCT(($AD$2:AD33="Y")*($E$2:E33="N")*($I$2:I33="Y")*(($C$2:C33="3:45 AM")+($C$2:C33="5:45 AM"))), "")</f>
        <v/>
      </c>
      <c r="AL33" s="119">
        <f>IF(AND(AD33="Y",C33="12:15 PM",E33="N",K33&lt;&gt;"Y"),COUNTIFS($AD$2:AD33,"Y",$C$2:C33,"12:15 PM",$E$2:E33,"N",$K$2:K33,"&lt;&gt;Y"),"")</f>
        <v/>
      </c>
      <c r="AM33" s="119">
        <f>IF(AND(AD33="Y",C33="2:00 PM",E33="N",K33&lt;&gt;"Y"),COUNTIFS($AD$2:AD33,"Y",$C$2:C33,"2:00 PM",$E$2:E33,"N",$K$2:K33,"&lt;&gt;Y"),"")</f>
        <v/>
      </c>
      <c r="AN33" s="119">
        <f>IF(AND(AD33="Y",E33="N",K33="Y",OR(C33="12:15 PM",C33="2:00 PM")),SUMPRODUCT(($AD$2:AD33="Y")*($E$2:E33="N")*($K$2:K33="Y")*(($C$2:C33="12:15 PM")+($C$2:C33="2:00 PM"))), "")</f>
        <v/>
      </c>
      <c r="AO33" s="119">
        <f>IF(AND(AD33="Y",C33="12:15 PM",E33="N",L33="Y"),COUNTIFS($AD$2:AD33,"Y",$C$2:C33,"12:15 PM",$E$2:E33,"N",$L$2:L33,"Y"),"")</f>
        <v/>
      </c>
      <c r="AP33" s="119">
        <f>IF(AND(AD33="Y",C33="2:00 PM",E33="N",L33="Y"),COUNTIFS($AD$2:AD33,"Y",$C$2:C33,"2:00 PM",$E$2:E33,"N",$L$2:L33,"Y"),"")</f>
        <v/>
      </c>
    </row>
    <row r="34" ht="14.25" customHeight="1" s="120">
      <c r="A34" s="231" t="inlineStr">
        <is>
          <t>EMP-0034</t>
        </is>
      </c>
      <c r="B34" s="232" t="inlineStr">
        <is>
          <t>Carrie Weaver</t>
        </is>
      </c>
      <c r="C34" s="232" t="inlineStr">
        <is>
          <t>12:15 PM</t>
        </is>
      </c>
      <c r="D34" s="232" t="inlineStr">
        <is>
          <t>Sat, Sun</t>
        </is>
      </c>
      <c r="E34" s="232" t="inlineStr">
        <is>
          <t>N</t>
        </is>
      </c>
      <c r="F34" s="232" t="inlineStr">
        <is>
          <t>N</t>
        </is>
      </c>
      <c r="G34" s="232" t="inlineStr">
        <is>
          <t>Y</t>
        </is>
      </c>
      <c r="H34" s="232" t="inlineStr">
        <is>
          <t>5:00 PM</t>
        </is>
      </c>
      <c r="I34" s="232" t="inlineStr">
        <is>
          <t>N</t>
        </is>
      </c>
      <c r="J34" s="232" t="inlineStr">
        <is>
          <t>N</t>
        </is>
      </c>
      <c r="K34" s="232" t="inlineStr">
        <is>
          <t>N</t>
        </is>
      </c>
      <c r="L34" s="232" t="inlineStr">
        <is>
          <t>Y</t>
        </is>
      </c>
      <c r="M34" s="232" t="inlineStr">
        <is>
          <t>Standard</t>
        </is>
      </c>
      <c r="N34" s="232" t="n"/>
      <c r="O34" s="232" t="n"/>
      <c r="P34" s="232" t="inlineStr">
        <is>
          <t>N</t>
        </is>
      </c>
      <c r="Q34" s="232" t="n"/>
      <c r="R34" s="232" t="n"/>
      <c r="S34" s="232" t="n"/>
      <c r="T34" s="233" t="inlineStr">
        <is>
          <t>N</t>
        </is>
      </c>
      <c r="U34" s="227">
        <f>IF($B34="","",IF(AND($G34="Y",ISERROR(SEARCH(TEXT('Control Center'!$B$3,"ddd"),TRIM($D34)))),"Y","N"))</f>
        <v/>
      </c>
      <c r="V34" s="227">
        <f>IF($B34="","",IF(AND($U34="Y",OR($C34="3:45 AM",$C34="5:45 AM"),OR('Control Center'!$B$4="N",$K34&lt;&gt;"Y")),"Y","N"))</f>
        <v/>
      </c>
      <c r="W34" s="227">
        <f>IF($B34="","",IF(AND($U34="Y",OR($C34="12:15 PM",$C34="2:00 PM"),OR('Control Center'!$B$5="N",$K34&lt;&gt;"Y")),"Y","N"))</f>
        <v/>
      </c>
      <c r="X34" s="228" t="n"/>
      <c r="Y34" s="229" t="n"/>
      <c r="Z34" s="228" t="n"/>
      <c r="AA34" s="229" t="n"/>
      <c r="AB34" s="230">
        <f>IF($B34="","",IF($P34="Y",IF($Y34="Y","Completed","In Progress"),""))</f>
        <v/>
      </c>
      <c r="AC34" s="119">
        <f>IF($B34="","",IF(COUNTIFS('Approved Absences'!$A$2:$A$200,$B34,'Approved Absences'!$B$2:$B$200,"&lt;="&amp;INT('Control Center'!$B$3),'Approved Absences'!$C$2:$C$200,"&gt;="&amp;INT('Control Center'!$B$3))&gt;0,"Y","N"))</f>
        <v/>
      </c>
      <c r="AD34" s="119">
        <f>IF($B34="","",IF(AND($G34="Y",$AC34&lt;&gt;"Y",ISERROR(SEARCH(TEXT('Control Center'!$B$3,"ddd"),TRIM($D34)))),"Y","N"))</f>
        <v/>
      </c>
      <c r="AE34" s="119">
        <f>IF(AND(AD34="Y",C34="3:45 AM",E34="N",K34&lt;&gt;"Y"),COUNTIFS($AD$2:AD34,"Y",$C$2:C34,"3:45 AM",$E$2:E34,"N",$K$2:K34,"&lt;&gt;Y"),"")</f>
        <v/>
      </c>
      <c r="AF34" s="119">
        <f>IF(AND(AD34="Y",C34="5:45 AM",E34="N",K34&lt;&gt;"Y"),COUNTIFS($AD$2:AD34,"Y",$C$2:C34,"5:45 AM",$E$2:E34,"N",$K$2:K34,"&lt;&gt;Y"),"")</f>
        <v/>
      </c>
      <c r="AG34" s="119">
        <f>IF(AND(AD34="Y",C34="3:45 AM",E34="N",L34="Y",K34&lt;&gt;"Y"),COUNTIFS($AD$2:AD34,"Y",$C$2:C34,"3:45 AM",$E$2:E34,"N",$L$2:L34,"Y",$K$2:K34,"&lt;&gt;Y"),"")</f>
        <v/>
      </c>
      <c r="AH34" s="119">
        <f>IF(AND(AD34="Y",C34="5:45 AM",E34="N",L34="Y",K34&lt;&gt;"Y"),COUNTIFS($AD$2:AD34,"Y",$C$2:C34,"5:45 AM",$E$2:E34,"N",$L$2:L34,"Y",$K$2:K34,"&lt;&gt;Y"),"")</f>
        <v/>
      </c>
      <c r="AI34" s="119">
        <f>IF(AND(AD34="Y",E34="N",K34="Y",OR(C34="3:45 AM",C34="5:45 AM")),SUMPRODUCT(($AD$2:AD34="Y")*($E$2:E34="N")*($K$2:K34="Y")*(($C$2:C34="3:45 AM")+($C$2:C34="5:45 AM"))), "")</f>
        <v/>
      </c>
      <c r="AJ34" s="119">
        <f>IF(AND(AD34="Y",C34="3:45 AM",E34="N",J34="Y"),COUNTIFS($AD$2:AD34,"Y",$C$2:C34,"3:45 AM",$E$2:E34,"N",$J$2:J34,"Y"),"")</f>
        <v/>
      </c>
      <c r="AK34" s="119">
        <f>IF(AND(AD34="Y",E34="N",I34="Y",OR(C34="3:45 AM",C34="5:45 AM")),SUMPRODUCT(($AD$2:AD34="Y")*($E$2:E34="N")*($I$2:I34="Y")*(($C$2:C34="3:45 AM")+($C$2:C34="5:45 AM"))), "")</f>
        <v/>
      </c>
      <c r="AL34" s="119">
        <f>IF(AND(AD34="Y",C34="12:15 PM",E34="N",K34&lt;&gt;"Y"),COUNTIFS($AD$2:AD34,"Y",$C$2:C34,"12:15 PM",$E$2:E34,"N",$K$2:K34,"&lt;&gt;Y"),"")</f>
        <v/>
      </c>
      <c r="AM34" s="119">
        <f>IF(AND(AD34="Y",C34="2:00 PM",E34="N",K34&lt;&gt;"Y"),COUNTIFS($AD$2:AD34,"Y",$C$2:C34,"2:00 PM",$E$2:E34,"N",$K$2:K34,"&lt;&gt;Y"),"")</f>
        <v/>
      </c>
      <c r="AN34" s="119">
        <f>IF(AND(AD34="Y",E34="N",K34="Y",OR(C34="12:15 PM",C34="2:00 PM")),SUMPRODUCT(($AD$2:AD34="Y")*($E$2:E34="N")*($K$2:K34="Y")*(($C$2:C34="12:15 PM")+($C$2:C34="2:00 PM"))), "")</f>
        <v/>
      </c>
      <c r="AO34" s="119">
        <f>IF(AND(AD34="Y",C34="12:15 PM",E34="N",L34="Y"),COUNTIFS($AD$2:AD34,"Y",$C$2:C34,"12:15 PM",$E$2:E34,"N",$L$2:L34,"Y"),"")</f>
        <v/>
      </c>
      <c r="AP34" s="119">
        <f>IF(AND(AD34="Y",C34="2:00 PM",E34="N",L34="Y"),COUNTIFS($AD$2:AD34,"Y",$C$2:C34,"2:00 PM",$E$2:E34,"N",$L$2:L34,"Y"),"")</f>
        <v/>
      </c>
    </row>
    <row r="35" ht="14.25" customHeight="1" s="120">
      <c r="A35" s="231" t="inlineStr">
        <is>
          <t>EMP-0035</t>
        </is>
      </c>
      <c r="B35" s="232" t="inlineStr">
        <is>
          <t>Cathy Foster</t>
        </is>
      </c>
      <c r="C35" s="232" t="inlineStr">
        <is>
          <t>3:45 AM</t>
        </is>
      </c>
      <c r="D35" s="232" t="inlineStr">
        <is>
          <t>Mon, Tue</t>
        </is>
      </c>
      <c r="E35" s="232" t="inlineStr">
        <is>
          <t>Y</t>
        </is>
      </c>
      <c r="F35" s="232" t="inlineStr">
        <is>
          <t>N</t>
        </is>
      </c>
      <c r="G35" s="232" t="inlineStr">
        <is>
          <t>Y</t>
        </is>
      </c>
      <c r="H35" s="232" t="inlineStr">
        <is>
          <t>None</t>
        </is>
      </c>
      <c r="I35" s="232" t="inlineStr">
        <is>
          <t>N</t>
        </is>
      </c>
      <c r="J35" s="232" t="inlineStr">
        <is>
          <t>N</t>
        </is>
      </c>
      <c r="K35" s="232" t="inlineStr">
        <is>
          <t>N</t>
        </is>
      </c>
      <c r="L35" s="232" t="inlineStr">
        <is>
          <t>Y</t>
        </is>
      </c>
      <c r="M35" s="232" t="inlineStr">
        <is>
          <t>Standard</t>
        </is>
      </c>
      <c r="N35" s="232" t="n"/>
      <c r="O35" s="232" t="n"/>
      <c r="P35" s="232" t="inlineStr">
        <is>
          <t>N</t>
        </is>
      </c>
      <c r="Q35" s="232" t="n"/>
      <c r="R35" s="232" t="n"/>
      <c r="S35" s="232" t="n"/>
      <c r="T35" s="233" t="inlineStr">
        <is>
          <t>N</t>
        </is>
      </c>
      <c r="U35" s="227">
        <f>IF($B35="","",IF(AND($G35="Y",ISERROR(SEARCH(TEXT('Control Center'!$B$3,"ddd"),TRIM($D35)))),"Y","N"))</f>
        <v/>
      </c>
      <c r="V35" s="227">
        <f>IF($B35="","",IF(AND($U35="Y",OR($C35="3:45 AM",$C35="5:45 AM"),OR('Control Center'!$B$4="N",$K35&lt;&gt;"Y")),"Y","N"))</f>
        <v/>
      </c>
      <c r="W35" s="227">
        <f>IF($B35="","",IF(AND($U35="Y",OR($C35="12:15 PM",$C35="2:00 PM"),OR('Control Center'!$B$5="N",$K35&lt;&gt;"Y")),"Y","N"))</f>
        <v/>
      </c>
      <c r="X35" s="228" t="n"/>
      <c r="Y35" s="229" t="n"/>
      <c r="Z35" s="228" t="n"/>
      <c r="AA35" s="229" t="n"/>
      <c r="AB35" s="230">
        <f>IF($B35="","",IF($P35="Y",IF($Y35="Y","Completed","In Progress"),""))</f>
        <v/>
      </c>
      <c r="AC35" s="119">
        <f>IF($B35="","",IF(COUNTIFS('Approved Absences'!$A$2:$A$200,$B35,'Approved Absences'!$B$2:$B$200,"&lt;="&amp;INT('Control Center'!$B$3),'Approved Absences'!$C$2:$C$200,"&gt;="&amp;INT('Control Center'!$B$3))&gt;0,"Y","N"))</f>
        <v/>
      </c>
      <c r="AD35" s="119">
        <f>IF($B35="","",IF(AND($G35="Y",$AC35&lt;&gt;"Y",ISERROR(SEARCH(TEXT('Control Center'!$B$3,"ddd"),TRIM($D35)))),"Y","N"))</f>
        <v/>
      </c>
      <c r="AE35" s="119">
        <f>IF(AND(AD35="Y",C35="3:45 AM",E35="N",K35&lt;&gt;"Y"),COUNTIFS($AD$2:AD35,"Y",$C$2:C35,"3:45 AM",$E$2:E35,"N",$K$2:K35,"&lt;&gt;Y"),"")</f>
        <v/>
      </c>
      <c r="AF35" s="119">
        <f>IF(AND(AD35="Y",C35="5:45 AM",E35="N",K35&lt;&gt;"Y"),COUNTIFS($AD$2:AD35,"Y",$C$2:C35,"5:45 AM",$E$2:E35,"N",$K$2:K35,"&lt;&gt;Y"),"")</f>
        <v/>
      </c>
      <c r="AG35" s="119">
        <f>IF(AND(AD35="Y",C35="3:45 AM",E35="N",L35="Y",K35&lt;&gt;"Y"),COUNTIFS($AD$2:AD35,"Y",$C$2:C35,"3:45 AM",$E$2:E35,"N",$L$2:L35,"Y",$K$2:K35,"&lt;&gt;Y"),"")</f>
        <v/>
      </c>
      <c r="AH35" s="119">
        <f>IF(AND(AD35="Y",C35="5:45 AM",E35="N",L35="Y",K35&lt;&gt;"Y"),COUNTIFS($AD$2:AD35,"Y",$C$2:C35,"5:45 AM",$E$2:E35,"N",$L$2:L35,"Y",$K$2:K35,"&lt;&gt;Y"),"")</f>
        <v/>
      </c>
      <c r="AI35" s="119">
        <f>IF(AND(AD35="Y",E35="N",K35="Y",OR(C35="3:45 AM",C35="5:45 AM")),SUMPRODUCT(($AD$2:AD35="Y")*($E$2:E35="N")*($K$2:K35="Y")*(($C$2:C35="3:45 AM")+($C$2:C35="5:45 AM"))), "")</f>
        <v/>
      </c>
      <c r="AJ35" s="119">
        <f>IF(AND(AD35="Y",C35="3:45 AM",E35="N",J35="Y"),COUNTIFS($AD$2:AD35,"Y",$C$2:C35,"3:45 AM",$E$2:E35,"N",$J$2:J35,"Y"),"")</f>
        <v/>
      </c>
      <c r="AK35" s="119">
        <f>IF(AND(AD35="Y",E35="N",I35="Y",OR(C35="3:45 AM",C35="5:45 AM")),SUMPRODUCT(($AD$2:AD35="Y")*($E$2:E35="N")*($I$2:I35="Y")*(($C$2:C35="3:45 AM")+($C$2:C35="5:45 AM"))), "")</f>
        <v/>
      </c>
      <c r="AL35" s="119">
        <f>IF(AND(AD35="Y",C35="12:15 PM",E35="N",K35&lt;&gt;"Y"),COUNTIFS($AD$2:AD35,"Y",$C$2:C35,"12:15 PM",$E$2:E35,"N",$K$2:K35,"&lt;&gt;Y"),"")</f>
        <v/>
      </c>
      <c r="AM35" s="119">
        <f>IF(AND(AD35="Y",C35="2:00 PM",E35="N",K35&lt;&gt;"Y"),COUNTIFS($AD$2:AD35,"Y",$C$2:C35,"2:00 PM",$E$2:E35,"N",$K$2:K35,"&lt;&gt;Y"),"")</f>
        <v/>
      </c>
      <c r="AN35" s="119">
        <f>IF(AND(AD35="Y",E35="N",K35="Y",OR(C35="12:15 PM",C35="2:00 PM")),SUMPRODUCT(($AD$2:AD35="Y")*($E$2:E35="N")*($K$2:K35="Y")*(($C$2:C35="12:15 PM")+($C$2:C35="2:00 PM"))), "")</f>
        <v/>
      </c>
      <c r="AO35" s="119">
        <f>IF(AND(AD35="Y",C35="12:15 PM",E35="N",L35="Y"),COUNTIFS($AD$2:AD35,"Y",$C$2:C35,"12:15 PM",$E$2:E35,"N",$L$2:L35,"Y"),"")</f>
        <v/>
      </c>
      <c r="AP35" s="119">
        <f>IF(AND(AD35="Y",C35="2:00 PM",E35="N",L35="Y"),COUNTIFS($AD$2:AD35,"Y",$C$2:C35,"2:00 PM",$E$2:E35,"N",$L$2:L35,"Y"),"")</f>
        <v/>
      </c>
    </row>
    <row r="36" ht="14.25" customHeight="1" s="120">
      <c r="A36" s="231" t="inlineStr">
        <is>
          <t>EMP-0036</t>
        </is>
      </c>
      <c r="B36" s="232" t="inlineStr">
        <is>
          <t>Cheikh Sylla</t>
        </is>
      </c>
      <c r="C36" s="232" t="inlineStr">
        <is>
          <t>2:00 PM</t>
        </is>
      </c>
      <c r="D36" s="232" t="inlineStr">
        <is>
          <t>Thu, Fri</t>
        </is>
      </c>
      <c r="E36" s="232" t="inlineStr">
        <is>
          <t>N</t>
        </is>
      </c>
      <c r="F36" s="232" t="inlineStr">
        <is>
          <t>N</t>
        </is>
      </c>
      <c r="G36" s="232" t="inlineStr">
        <is>
          <t>Y</t>
        </is>
      </c>
      <c r="H36" s="232" t="inlineStr">
        <is>
          <t>None</t>
        </is>
      </c>
      <c r="I36" s="232" t="inlineStr">
        <is>
          <t>N</t>
        </is>
      </c>
      <c r="J36" s="232" t="inlineStr">
        <is>
          <t>Y</t>
        </is>
      </c>
      <c r="K36" s="232" t="inlineStr">
        <is>
          <t>N</t>
        </is>
      </c>
      <c r="L36" s="232" t="inlineStr">
        <is>
          <t>Y</t>
        </is>
      </c>
      <c r="M36" s="232" t="inlineStr">
        <is>
          <t>Standard</t>
        </is>
      </c>
      <c r="N36" s="232" t="n"/>
      <c r="O36" s="232" t="n"/>
      <c r="P36" s="232" t="inlineStr">
        <is>
          <t>N</t>
        </is>
      </c>
      <c r="Q36" s="232" t="n"/>
      <c r="R36" s="232" t="n"/>
      <c r="S36" s="232" t="n"/>
      <c r="T36" s="233" t="inlineStr">
        <is>
          <t>N</t>
        </is>
      </c>
      <c r="U36" s="227">
        <f>IF($B36="","",IF(AND($G36="Y",ISERROR(SEARCH(TEXT('Control Center'!$B$3,"ddd"),TRIM($D36)))),"Y","N"))</f>
        <v/>
      </c>
      <c r="V36" s="227">
        <f>IF($B36="","",IF(AND($U36="Y",OR($C36="3:45 AM",$C36="5:45 AM"),OR('Control Center'!$B$4="N",$K36&lt;&gt;"Y")),"Y","N"))</f>
        <v/>
      </c>
      <c r="W36" s="227">
        <f>IF($B36="","",IF(AND($U36="Y",OR($C36="12:15 PM",$C36="2:00 PM"),OR('Control Center'!$B$5="N",$K36&lt;&gt;"Y")),"Y","N"))</f>
        <v/>
      </c>
      <c r="X36" s="228" t="n"/>
      <c r="Y36" s="229" t="n"/>
      <c r="Z36" s="228" t="n"/>
      <c r="AA36" s="229" t="n"/>
      <c r="AB36" s="230">
        <f>IF($B36="","",IF($P36="Y",IF($Y36="Y","Completed","In Progress"),""))</f>
        <v/>
      </c>
      <c r="AC36" s="119">
        <f>IF($B36="","",IF(COUNTIFS('Approved Absences'!$A$2:$A$200,$B36,'Approved Absences'!$B$2:$B$200,"&lt;="&amp;INT('Control Center'!$B$3),'Approved Absences'!$C$2:$C$200,"&gt;="&amp;INT('Control Center'!$B$3))&gt;0,"Y","N"))</f>
        <v/>
      </c>
      <c r="AD36" s="119">
        <f>IF($B36="","",IF(AND($G36="Y",$AC36&lt;&gt;"Y",ISERROR(SEARCH(TEXT('Control Center'!$B$3,"ddd"),TRIM($D36)))),"Y","N"))</f>
        <v/>
      </c>
      <c r="AE36" s="119">
        <f>IF(AND(AD36="Y",C36="3:45 AM",E36="N",K36&lt;&gt;"Y"),COUNTIFS($AD$2:AD36,"Y",$C$2:C36,"3:45 AM",$E$2:E36,"N",$K$2:K36,"&lt;&gt;Y"),"")</f>
        <v/>
      </c>
      <c r="AF36" s="119">
        <f>IF(AND(AD36="Y",C36="5:45 AM",E36="N",K36&lt;&gt;"Y"),COUNTIFS($AD$2:AD36,"Y",$C$2:C36,"5:45 AM",$E$2:E36,"N",$K$2:K36,"&lt;&gt;Y"),"")</f>
        <v/>
      </c>
      <c r="AG36" s="119">
        <f>IF(AND(AD36="Y",C36="3:45 AM",E36="N",L36="Y",K36&lt;&gt;"Y"),COUNTIFS($AD$2:AD36,"Y",$C$2:C36,"3:45 AM",$E$2:E36,"N",$L$2:L36,"Y",$K$2:K36,"&lt;&gt;Y"),"")</f>
        <v/>
      </c>
      <c r="AH36" s="119">
        <f>IF(AND(AD36="Y",C36="5:45 AM",E36="N",L36="Y",K36&lt;&gt;"Y"),COUNTIFS($AD$2:AD36,"Y",$C$2:C36,"5:45 AM",$E$2:E36,"N",$L$2:L36,"Y",$K$2:K36,"&lt;&gt;Y"),"")</f>
        <v/>
      </c>
      <c r="AI36" s="119">
        <f>IF(AND(AD36="Y",E36="N",K36="Y",OR(C36="3:45 AM",C36="5:45 AM")),SUMPRODUCT(($AD$2:AD36="Y")*($E$2:E36="N")*($K$2:K36="Y")*(($C$2:C36="3:45 AM")+($C$2:C36="5:45 AM"))), "")</f>
        <v/>
      </c>
      <c r="AJ36" s="119">
        <f>IF(AND(AD36="Y",C36="3:45 AM",E36="N",J36="Y"),COUNTIFS($AD$2:AD36,"Y",$C$2:C36,"3:45 AM",$E$2:E36,"N",$J$2:J36,"Y"),"")</f>
        <v/>
      </c>
      <c r="AK36" s="119">
        <f>IF(AND(AD36="Y",E36="N",I36="Y",OR(C36="3:45 AM",C36="5:45 AM")),SUMPRODUCT(($AD$2:AD36="Y")*($E$2:E36="N")*($I$2:I36="Y")*(($C$2:C36="3:45 AM")+($C$2:C36="5:45 AM"))), "")</f>
        <v/>
      </c>
      <c r="AL36" s="119">
        <f>IF(AND(AD36="Y",C36="12:15 PM",E36="N",K36&lt;&gt;"Y"),COUNTIFS($AD$2:AD36,"Y",$C$2:C36,"12:15 PM",$E$2:E36,"N",$K$2:K36,"&lt;&gt;Y"),"")</f>
        <v/>
      </c>
      <c r="AM36" s="119">
        <f>IF(AND(AD36="Y",C36="2:00 PM",E36="N",K36&lt;&gt;"Y"),COUNTIFS($AD$2:AD36,"Y",$C$2:C36,"2:00 PM",$E$2:E36,"N",$K$2:K36,"&lt;&gt;Y"),"")</f>
        <v/>
      </c>
      <c r="AN36" s="119">
        <f>IF(AND(AD36="Y",E36="N",K36="Y",OR(C36="12:15 PM",C36="2:00 PM")),SUMPRODUCT(($AD$2:AD36="Y")*($E$2:E36="N")*($K$2:K36="Y")*(($C$2:C36="12:15 PM")+($C$2:C36="2:00 PM"))), "")</f>
        <v/>
      </c>
      <c r="AO36" s="119">
        <f>IF(AND(AD36="Y",C36="12:15 PM",E36="N",L36="Y"),COUNTIFS($AD$2:AD36,"Y",$C$2:C36,"12:15 PM",$E$2:E36,"N",$L$2:L36,"Y"),"")</f>
        <v/>
      </c>
      <c r="AP36" s="119">
        <f>IF(AND(AD36="Y",C36="2:00 PM",E36="N",L36="Y"),COUNTIFS($AD$2:AD36,"Y",$C$2:C36,"2:00 PM",$E$2:E36,"N",$L$2:L36,"Y"),"")</f>
        <v/>
      </c>
    </row>
    <row r="37" ht="14.25" customHeight="1" s="120">
      <c r="A37" s="231" t="inlineStr">
        <is>
          <t>EMP-0037</t>
        </is>
      </c>
      <c r="B37" s="232" t="inlineStr">
        <is>
          <t>Chiedu Memeh</t>
        </is>
      </c>
      <c r="C37" s="232" t="inlineStr">
        <is>
          <t>12:15 PM</t>
        </is>
      </c>
      <c r="D37" s="232" t="inlineStr">
        <is>
          <t>Fri, Sat</t>
        </is>
      </c>
      <c r="E37" s="232" t="inlineStr">
        <is>
          <t>N</t>
        </is>
      </c>
      <c r="F37" s="232" t="inlineStr">
        <is>
          <t>N</t>
        </is>
      </c>
      <c r="G37" s="232" t="inlineStr">
        <is>
          <t>Y</t>
        </is>
      </c>
      <c r="H37" s="232" t="inlineStr">
        <is>
          <t>None</t>
        </is>
      </c>
      <c r="I37" s="232" t="inlineStr">
        <is>
          <t>N</t>
        </is>
      </c>
      <c r="J37" s="232" t="inlineStr">
        <is>
          <t>N</t>
        </is>
      </c>
      <c r="K37" s="232" t="inlineStr">
        <is>
          <t>N</t>
        </is>
      </c>
      <c r="L37" s="232" t="inlineStr">
        <is>
          <t>Y</t>
        </is>
      </c>
      <c r="M37" s="232" t="inlineStr">
        <is>
          <t>Standard</t>
        </is>
      </c>
      <c r="N37" s="232" t="n"/>
      <c r="O37" s="232" t="n"/>
      <c r="P37" s="232" t="inlineStr">
        <is>
          <t>N</t>
        </is>
      </c>
      <c r="Q37" s="232" t="n"/>
      <c r="R37" s="232" t="n"/>
      <c r="S37" s="232" t="n"/>
      <c r="T37" s="233" t="inlineStr">
        <is>
          <t>N</t>
        </is>
      </c>
      <c r="U37" s="227">
        <f>IF($B37="","",IF(AND($G37="Y",ISERROR(SEARCH(TEXT('Control Center'!$B$3,"ddd"),TRIM($D37)))),"Y","N"))</f>
        <v/>
      </c>
      <c r="V37" s="227">
        <f>IF($B37="","",IF(AND($U37="Y",OR($C37="3:45 AM",$C37="5:45 AM"),OR('Control Center'!$B$4="N",$K37&lt;&gt;"Y")),"Y","N"))</f>
        <v/>
      </c>
      <c r="W37" s="227">
        <f>IF($B37="","",IF(AND($U37="Y",OR($C37="12:15 PM",$C37="2:00 PM"),OR('Control Center'!$B$5="N",$K37&lt;&gt;"Y")),"Y","N"))</f>
        <v/>
      </c>
      <c r="X37" s="228" t="n"/>
      <c r="Y37" s="229" t="n"/>
      <c r="Z37" s="228" t="n"/>
      <c r="AA37" s="229" t="n"/>
      <c r="AB37" s="230">
        <f>IF($B37="","",IF($P37="Y",IF($Y37="Y","Completed","In Progress"),""))</f>
        <v/>
      </c>
      <c r="AC37" s="119">
        <f>IF($B37="","",IF(COUNTIFS('Approved Absences'!$A$2:$A$200,$B37,'Approved Absences'!$B$2:$B$200,"&lt;="&amp;INT('Control Center'!$B$3),'Approved Absences'!$C$2:$C$200,"&gt;="&amp;INT('Control Center'!$B$3))&gt;0,"Y","N"))</f>
        <v/>
      </c>
      <c r="AD37" s="119">
        <f>IF($B37="","",IF(AND($G37="Y",$AC37&lt;&gt;"Y",ISERROR(SEARCH(TEXT('Control Center'!$B$3,"ddd"),TRIM($D37)))),"Y","N"))</f>
        <v/>
      </c>
      <c r="AE37" s="119">
        <f>IF(AND(AD37="Y",C37="3:45 AM",E37="N",K37&lt;&gt;"Y"),COUNTIFS($AD$2:AD37,"Y",$C$2:C37,"3:45 AM",$E$2:E37,"N",$K$2:K37,"&lt;&gt;Y"),"")</f>
        <v/>
      </c>
      <c r="AF37" s="119">
        <f>IF(AND(AD37="Y",C37="5:45 AM",E37="N",K37&lt;&gt;"Y"),COUNTIFS($AD$2:AD37,"Y",$C$2:C37,"5:45 AM",$E$2:E37,"N",$K$2:K37,"&lt;&gt;Y"),"")</f>
        <v/>
      </c>
      <c r="AG37" s="119">
        <f>IF(AND(AD37="Y",C37="3:45 AM",E37="N",L37="Y",K37&lt;&gt;"Y"),COUNTIFS($AD$2:AD37,"Y",$C$2:C37,"3:45 AM",$E$2:E37,"N",$L$2:L37,"Y",$K$2:K37,"&lt;&gt;Y"),"")</f>
        <v/>
      </c>
      <c r="AH37" s="119">
        <f>IF(AND(AD37="Y",C37="5:45 AM",E37="N",L37="Y",K37&lt;&gt;"Y"),COUNTIFS($AD$2:AD37,"Y",$C$2:C37,"5:45 AM",$E$2:E37,"N",$L$2:L37,"Y",$K$2:K37,"&lt;&gt;Y"),"")</f>
        <v/>
      </c>
      <c r="AI37" s="119">
        <f>IF(AND(AD37="Y",E37="N",K37="Y",OR(C37="3:45 AM",C37="5:45 AM")),SUMPRODUCT(($AD$2:AD37="Y")*($E$2:E37="N")*($K$2:K37="Y")*(($C$2:C37="3:45 AM")+($C$2:C37="5:45 AM"))), "")</f>
        <v/>
      </c>
      <c r="AJ37" s="119">
        <f>IF(AND(AD37="Y",C37="3:45 AM",E37="N",J37="Y"),COUNTIFS($AD$2:AD37,"Y",$C$2:C37,"3:45 AM",$E$2:E37,"N",$J$2:J37,"Y"),"")</f>
        <v/>
      </c>
      <c r="AK37" s="119">
        <f>IF(AND(AD37="Y",E37="N",I37="Y",OR(C37="3:45 AM",C37="5:45 AM")),SUMPRODUCT(($AD$2:AD37="Y")*($E$2:E37="N")*($I$2:I37="Y")*(($C$2:C37="3:45 AM")+($C$2:C37="5:45 AM"))), "")</f>
        <v/>
      </c>
      <c r="AL37" s="119">
        <f>IF(AND(AD37="Y",C37="12:15 PM",E37="N",K37&lt;&gt;"Y"),COUNTIFS($AD$2:AD37,"Y",$C$2:C37,"12:15 PM",$E$2:E37,"N",$K$2:K37,"&lt;&gt;Y"),"")</f>
        <v/>
      </c>
      <c r="AM37" s="119">
        <f>IF(AND(AD37="Y",C37="2:00 PM",E37="N",K37&lt;&gt;"Y"),COUNTIFS($AD$2:AD37,"Y",$C$2:C37,"2:00 PM",$E$2:E37,"N",$K$2:K37,"&lt;&gt;Y"),"")</f>
        <v/>
      </c>
      <c r="AN37" s="119">
        <f>IF(AND(AD37="Y",E37="N",K37="Y",OR(C37="12:15 PM",C37="2:00 PM")),SUMPRODUCT(($AD$2:AD37="Y")*($E$2:E37="N")*($K$2:K37="Y")*(($C$2:C37="12:15 PM")+($C$2:C37="2:00 PM"))), "")</f>
        <v/>
      </c>
      <c r="AO37" s="119">
        <f>IF(AND(AD37="Y",C37="12:15 PM",E37="N",L37="Y"),COUNTIFS($AD$2:AD37,"Y",$C$2:C37,"12:15 PM",$E$2:E37,"N",$L$2:L37,"Y"),"")</f>
        <v/>
      </c>
      <c r="AP37" s="119">
        <f>IF(AND(AD37="Y",C37="2:00 PM",E37="N",L37="Y"),COUNTIFS($AD$2:AD37,"Y",$C$2:C37,"2:00 PM",$E$2:E37,"N",$L$2:L37,"Y"),"")</f>
        <v/>
      </c>
    </row>
    <row r="38" ht="14.25" customHeight="1" s="120">
      <c r="A38" s="231" t="inlineStr">
        <is>
          <t>EMP-0038</t>
        </is>
      </c>
      <c r="B38" s="232" t="inlineStr">
        <is>
          <t>Chris Jungson</t>
        </is>
      </c>
      <c r="C38" s="232" t="inlineStr">
        <is>
          <t>2:00 PM</t>
        </is>
      </c>
      <c r="D38" s="232" t="inlineStr">
        <is>
          <t>Mon, Tue</t>
        </is>
      </c>
      <c r="E38" s="232" t="inlineStr">
        <is>
          <t>N</t>
        </is>
      </c>
      <c r="F38" s="232" t="inlineStr">
        <is>
          <t>N</t>
        </is>
      </c>
      <c r="G38" s="232" t="inlineStr">
        <is>
          <t>Y</t>
        </is>
      </c>
      <c r="H38" s="232" t="inlineStr">
        <is>
          <t>None</t>
        </is>
      </c>
      <c r="I38" s="232" t="inlineStr">
        <is>
          <t>Y</t>
        </is>
      </c>
      <c r="J38" s="232" t="inlineStr">
        <is>
          <t>N</t>
        </is>
      </c>
      <c r="K38" s="232" t="inlineStr">
        <is>
          <t>N</t>
        </is>
      </c>
      <c r="L38" s="232" t="inlineStr">
        <is>
          <t>Y</t>
        </is>
      </c>
      <c r="M38" s="232" t="inlineStr">
        <is>
          <t>Standard</t>
        </is>
      </c>
      <c r="N38" s="232" t="n"/>
      <c r="O38" s="232" t="n"/>
      <c r="P38" s="232" t="inlineStr">
        <is>
          <t>N</t>
        </is>
      </c>
      <c r="Q38" s="232" t="n"/>
      <c r="R38" s="232" t="n"/>
      <c r="S38" s="232" t="n"/>
      <c r="T38" s="233" t="inlineStr">
        <is>
          <t>N</t>
        </is>
      </c>
      <c r="U38" s="227">
        <f>IF($B38="","",IF(AND($G38="Y",ISERROR(SEARCH(TEXT('Control Center'!$B$3,"ddd"),TRIM($D38)))),"Y","N"))</f>
        <v/>
      </c>
      <c r="V38" s="227">
        <f>IF($B38="","",IF(AND($U38="Y",OR($C38="3:45 AM",$C38="5:45 AM"),OR('Control Center'!$B$4="N",$K38&lt;&gt;"Y")),"Y","N"))</f>
        <v/>
      </c>
      <c r="W38" s="227">
        <f>IF($B38="","",IF(AND($U38="Y",OR($C38="12:15 PM",$C38="2:00 PM"),OR('Control Center'!$B$5="N",$K38&lt;&gt;"Y")),"Y","N"))</f>
        <v/>
      </c>
      <c r="X38" s="228" t="n"/>
      <c r="Y38" s="229" t="n"/>
      <c r="Z38" s="228" t="n"/>
      <c r="AA38" s="229" t="n"/>
      <c r="AB38" s="230">
        <f>IF($B38="","",IF($P38="Y",IF($Y38="Y","Completed","In Progress"),""))</f>
        <v/>
      </c>
      <c r="AC38" s="119">
        <f>IF($B38="","",IF(COUNTIFS('Approved Absences'!$A$2:$A$200,$B38,'Approved Absences'!$B$2:$B$200,"&lt;="&amp;INT('Control Center'!$B$3),'Approved Absences'!$C$2:$C$200,"&gt;="&amp;INT('Control Center'!$B$3))&gt;0,"Y","N"))</f>
        <v/>
      </c>
      <c r="AD38" s="119">
        <f>IF($B38="","",IF(AND($G38="Y",$AC38&lt;&gt;"Y",ISERROR(SEARCH(TEXT('Control Center'!$B$3,"ddd"),TRIM($D38)))),"Y","N"))</f>
        <v/>
      </c>
      <c r="AE38" s="119">
        <f>IF(AND(AD38="Y",C38="3:45 AM",E38="N",K38&lt;&gt;"Y"),COUNTIFS($AD$2:AD38,"Y",$C$2:C38,"3:45 AM",$E$2:E38,"N",$K$2:K38,"&lt;&gt;Y"),"")</f>
        <v/>
      </c>
      <c r="AF38" s="119">
        <f>IF(AND(AD38="Y",C38="5:45 AM",E38="N",K38&lt;&gt;"Y"),COUNTIFS($AD$2:AD38,"Y",$C$2:C38,"5:45 AM",$E$2:E38,"N",$K$2:K38,"&lt;&gt;Y"),"")</f>
        <v/>
      </c>
      <c r="AG38" s="119">
        <f>IF(AND(AD38="Y",C38="3:45 AM",E38="N",L38="Y",K38&lt;&gt;"Y"),COUNTIFS($AD$2:AD38,"Y",$C$2:C38,"3:45 AM",$E$2:E38,"N",$L$2:L38,"Y",$K$2:K38,"&lt;&gt;Y"),"")</f>
        <v/>
      </c>
      <c r="AH38" s="119">
        <f>IF(AND(AD38="Y",C38="5:45 AM",E38="N",L38="Y",K38&lt;&gt;"Y"),COUNTIFS($AD$2:AD38,"Y",$C$2:C38,"5:45 AM",$E$2:E38,"N",$L$2:L38,"Y",$K$2:K38,"&lt;&gt;Y"),"")</f>
        <v/>
      </c>
      <c r="AI38" s="119">
        <f>IF(AND(AD38="Y",E38="N",K38="Y",OR(C38="3:45 AM",C38="5:45 AM")),SUMPRODUCT(($AD$2:AD38="Y")*($E$2:E38="N")*($K$2:K38="Y")*(($C$2:C38="3:45 AM")+($C$2:C38="5:45 AM"))), "")</f>
        <v/>
      </c>
      <c r="AJ38" s="119">
        <f>IF(AND(AD38="Y",C38="3:45 AM",E38="N",J38="Y"),COUNTIFS($AD$2:AD38,"Y",$C$2:C38,"3:45 AM",$E$2:E38,"N",$J$2:J38,"Y"),"")</f>
        <v/>
      </c>
      <c r="AK38" s="119">
        <f>IF(AND(AD38="Y",E38="N",I38="Y",OR(C38="3:45 AM",C38="5:45 AM")),SUMPRODUCT(($AD$2:AD38="Y")*($E$2:E38="N")*($I$2:I38="Y")*(($C$2:C38="3:45 AM")+($C$2:C38="5:45 AM"))), "")</f>
        <v/>
      </c>
      <c r="AL38" s="119">
        <f>IF(AND(AD38="Y",C38="12:15 PM",E38="N",K38&lt;&gt;"Y"),COUNTIFS($AD$2:AD38,"Y",$C$2:C38,"12:15 PM",$E$2:E38,"N",$K$2:K38,"&lt;&gt;Y"),"")</f>
        <v/>
      </c>
      <c r="AM38" s="119">
        <f>IF(AND(AD38="Y",C38="2:00 PM",E38="N",K38&lt;&gt;"Y"),COUNTIFS($AD$2:AD38,"Y",$C$2:C38,"2:00 PM",$E$2:E38,"N",$K$2:K38,"&lt;&gt;Y"),"")</f>
        <v/>
      </c>
      <c r="AN38" s="119">
        <f>IF(AND(AD38="Y",E38="N",K38="Y",OR(C38="12:15 PM",C38="2:00 PM")),SUMPRODUCT(($AD$2:AD38="Y")*($E$2:E38="N")*($K$2:K38="Y")*(($C$2:C38="12:15 PM")+($C$2:C38="2:00 PM"))), "")</f>
        <v/>
      </c>
      <c r="AO38" s="119">
        <f>IF(AND(AD38="Y",C38="12:15 PM",E38="N",L38="Y"),COUNTIFS($AD$2:AD38,"Y",$C$2:C38,"12:15 PM",$E$2:E38,"N",$L$2:L38,"Y"),"")</f>
        <v/>
      </c>
      <c r="AP38" s="119">
        <f>IF(AND(AD38="Y",C38="2:00 PM",E38="N",L38="Y"),COUNTIFS($AD$2:AD38,"Y",$C$2:C38,"2:00 PM",$E$2:E38,"N",$L$2:L38,"Y"),"")</f>
        <v/>
      </c>
    </row>
    <row r="39" ht="14.25" customHeight="1" s="120">
      <c r="A39" s="231" t="inlineStr">
        <is>
          <t>EMP-0039</t>
        </is>
      </c>
      <c r="B39" s="232" t="inlineStr">
        <is>
          <t>Christopher White</t>
        </is>
      </c>
      <c r="C39" s="232" t="inlineStr">
        <is>
          <t>2:00 PM</t>
        </is>
      </c>
      <c r="D39" s="232" t="inlineStr">
        <is>
          <t>Sun, Mon</t>
        </is>
      </c>
      <c r="E39" s="232" t="inlineStr">
        <is>
          <t>N</t>
        </is>
      </c>
      <c r="F39" s="232" t="inlineStr">
        <is>
          <t>N</t>
        </is>
      </c>
      <c r="G39" s="232" t="inlineStr">
        <is>
          <t>Y</t>
        </is>
      </c>
      <c r="H39" s="232" t="inlineStr">
        <is>
          <t>None</t>
        </is>
      </c>
      <c r="I39" s="232" t="inlineStr">
        <is>
          <t>N</t>
        </is>
      </c>
      <c r="J39" s="232" t="inlineStr">
        <is>
          <t>N</t>
        </is>
      </c>
      <c r="K39" s="232" t="inlineStr">
        <is>
          <t>N</t>
        </is>
      </c>
      <c r="L39" s="232" t="inlineStr">
        <is>
          <t>Y</t>
        </is>
      </c>
      <c r="M39" s="232" t="inlineStr">
        <is>
          <t>Standard</t>
        </is>
      </c>
      <c r="N39" s="232" t="n"/>
      <c r="O39" s="232" t="n"/>
      <c r="P39" s="232" t="inlineStr">
        <is>
          <t>N</t>
        </is>
      </c>
      <c r="Q39" s="232" t="n"/>
      <c r="R39" s="232" t="n"/>
      <c r="S39" s="232" t="n"/>
      <c r="T39" s="233" t="inlineStr">
        <is>
          <t>N</t>
        </is>
      </c>
      <c r="U39" s="227">
        <f>IF($B39="","",IF(AND($G39="Y",ISERROR(SEARCH(TEXT('Control Center'!$B$3,"ddd"),TRIM($D39)))),"Y","N"))</f>
        <v/>
      </c>
      <c r="V39" s="227">
        <f>IF($B39="","",IF(AND($U39="Y",OR($C39="3:45 AM",$C39="5:45 AM"),OR('Control Center'!$B$4="N",$K39&lt;&gt;"Y")),"Y","N"))</f>
        <v/>
      </c>
      <c r="W39" s="227">
        <f>IF($B39="","",IF(AND($U39="Y",OR($C39="12:15 PM",$C39="2:00 PM"),OR('Control Center'!$B$5="N",$K39&lt;&gt;"Y")),"Y","N"))</f>
        <v/>
      </c>
      <c r="X39" s="228" t="n"/>
      <c r="Y39" s="229" t="n"/>
      <c r="Z39" s="228" t="n"/>
      <c r="AA39" s="229" t="n"/>
      <c r="AB39" s="230">
        <f>IF($B39="","",IF($P39="Y",IF($Y39="Y","Completed","In Progress"),""))</f>
        <v/>
      </c>
      <c r="AC39" s="119">
        <f>IF($B39="","",IF(COUNTIFS('Approved Absences'!$A$2:$A$200,$B39,'Approved Absences'!$B$2:$B$200,"&lt;="&amp;INT('Control Center'!$B$3),'Approved Absences'!$C$2:$C$200,"&gt;="&amp;INT('Control Center'!$B$3))&gt;0,"Y","N"))</f>
        <v/>
      </c>
      <c r="AD39" s="119">
        <f>IF($B39="","",IF(AND($G39="Y",$AC39&lt;&gt;"Y",ISERROR(SEARCH(TEXT('Control Center'!$B$3,"ddd"),TRIM($D39)))),"Y","N"))</f>
        <v/>
      </c>
      <c r="AE39" s="119">
        <f>IF(AND(AD39="Y",C39="3:45 AM",E39="N",K39&lt;&gt;"Y"),COUNTIFS($AD$2:AD39,"Y",$C$2:C39,"3:45 AM",$E$2:E39,"N",$K$2:K39,"&lt;&gt;Y"),"")</f>
        <v/>
      </c>
      <c r="AF39" s="119">
        <f>IF(AND(AD39="Y",C39="5:45 AM",E39="N",K39&lt;&gt;"Y"),COUNTIFS($AD$2:AD39,"Y",$C$2:C39,"5:45 AM",$E$2:E39,"N",$K$2:K39,"&lt;&gt;Y"),"")</f>
        <v/>
      </c>
      <c r="AG39" s="119">
        <f>IF(AND(AD39="Y",C39="3:45 AM",E39="N",L39="Y",K39&lt;&gt;"Y"),COUNTIFS($AD$2:AD39,"Y",$C$2:C39,"3:45 AM",$E$2:E39,"N",$L$2:L39,"Y",$K$2:K39,"&lt;&gt;Y"),"")</f>
        <v/>
      </c>
      <c r="AH39" s="119">
        <f>IF(AND(AD39="Y",C39="5:45 AM",E39="N",L39="Y",K39&lt;&gt;"Y"),COUNTIFS($AD$2:AD39,"Y",$C$2:C39,"5:45 AM",$E$2:E39,"N",$L$2:L39,"Y",$K$2:K39,"&lt;&gt;Y"),"")</f>
        <v/>
      </c>
      <c r="AI39" s="119">
        <f>IF(AND(AD39="Y",E39="N",K39="Y",OR(C39="3:45 AM",C39="5:45 AM")),SUMPRODUCT(($AD$2:AD39="Y")*($E$2:E39="N")*($K$2:K39="Y")*(($C$2:C39="3:45 AM")+($C$2:C39="5:45 AM"))), "")</f>
        <v/>
      </c>
      <c r="AJ39" s="119">
        <f>IF(AND(AD39="Y",C39="3:45 AM",E39="N",J39="Y"),COUNTIFS($AD$2:AD39,"Y",$C$2:C39,"3:45 AM",$E$2:E39,"N",$J$2:J39,"Y"),"")</f>
        <v/>
      </c>
      <c r="AK39" s="119">
        <f>IF(AND(AD39="Y",E39="N",I39="Y",OR(C39="3:45 AM",C39="5:45 AM")),SUMPRODUCT(($AD$2:AD39="Y")*($E$2:E39="N")*($I$2:I39="Y")*(($C$2:C39="3:45 AM")+($C$2:C39="5:45 AM"))), "")</f>
        <v/>
      </c>
      <c r="AL39" s="119">
        <f>IF(AND(AD39="Y",C39="12:15 PM",E39="N",K39&lt;&gt;"Y"),COUNTIFS($AD$2:AD39,"Y",$C$2:C39,"12:15 PM",$E$2:E39,"N",$K$2:K39,"&lt;&gt;Y"),"")</f>
        <v/>
      </c>
      <c r="AM39" s="119">
        <f>IF(AND(AD39="Y",C39="2:00 PM",E39="N",K39&lt;&gt;"Y"),COUNTIFS($AD$2:AD39,"Y",$C$2:C39,"2:00 PM",$E$2:E39,"N",$K$2:K39,"&lt;&gt;Y"),"")</f>
        <v/>
      </c>
      <c r="AN39" s="119">
        <f>IF(AND(AD39="Y",E39="N",K39="Y",OR(C39="12:15 PM",C39="2:00 PM")),SUMPRODUCT(($AD$2:AD39="Y")*($E$2:E39="N")*($K$2:K39="Y")*(($C$2:C39="12:15 PM")+($C$2:C39="2:00 PM"))), "")</f>
        <v/>
      </c>
      <c r="AO39" s="119">
        <f>IF(AND(AD39="Y",C39="12:15 PM",E39="N",L39="Y"),COUNTIFS($AD$2:AD39,"Y",$C$2:C39,"12:15 PM",$E$2:E39,"N",$L$2:L39,"Y"),"")</f>
        <v/>
      </c>
      <c r="AP39" s="119">
        <f>IF(AND(AD39="Y",C39="2:00 PM",E39="N",L39="Y"),COUNTIFS($AD$2:AD39,"Y",$C$2:C39,"2:00 PM",$E$2:E39,"N",$L$2:L39,"Y"),"")</f>
        <v/>
      </c>
    </row>
    <row r="40" ht="14.25" customHeight="1" s="120">
      <c r="A40" s="231" t="inlineStr">
        <is>
          <t>EMP-0040</t>
        </is>
      </c>
      <c r="B40" s="232" t="inlineStr">
        <is>
          <t>Chrystol Harvey</t>
        </is>
      </c>
      <c r="C40" s="232" t="inlineStr">
        <is>
          <t>5:45 AM</t>
        </is>
      </c>
      <c r="D40" s="232" t="inlineStr">
        <is>
          <t>Thu, Fri</t>
        </is>
      </c>
      <c r="E40" s="232" t="inlineStr">
        <is>
          <t>N</t>
        </is>
      </c>
      <c r="F40" s="232" t="inlineStr">
        <is>
          <t>N</t>
        </is>
      </c>
      <c r="G40" s="232" t="inlineStr">
        <is>
          <t>Y</t>
        </is>
      </c>
      <c r="H40" s="232" t="inlineStr">
        <is>
          <t>None</t>
        </is>
      </c>
      <c r="I40" s="232" t="inlineStr">
        <is>
          <t>N</t>
        </is>
      </c>
      <c r="J40" s="232" t="inlineStr">
        <is>
          <t>N</t>
        </is>
      </c>
      <c r="K40" s="232" t="inlineStr">
        <is>
          <t>Y</t>
        </is>
      </c>
      <c r="L40" s="232" t="inlineStr">
        <is>
          <t>Y</t>
        </is>
      </c>
      <c r="M40" s="232" t="inlineStr">
        <is>
          <t>Standard</t>
        </is>
      </c>
      <c r="N40" s="232" t="n"/>
      <c r="O40" s="232" t="n"/>
      <c r="P40" s="232" t="inlineStr">
        <is>
          <t>N</t>
        </is>
      </c>
      <c r="Q40" s="232" t="n"/>
      <c r="R40" s="232" t="n"/>
      <c r="S40" s="232" t="n"/>
      <c r="T40" s="233" t="inlineStr">
        <is>
          <t>N</t>
        </is>
      </c>
      <c r="U40" s="227">
        <f>IF($B40="","",IF(AND($G40="Y",ISERROR(SEARCH(TEXT('Control Center'!$B$3,"ddd"),TRIM($D40)))),"Y","N"))</f>
        <v/>
      </c>
      <c r="V40" s="227">
        <f>IF($B40="","",IF(AND($U40="Y",OR($C40="3:45 AM",$C40="5:45 AM"),OR('Control Center'!$B$4="N",$K40&lt;&gt;"Y")),"Y","N"))</f>
        <v/>
      </c>
      <c r="W40" s="227">
        <f>IF($B40="","",IF(AND($U40="Y",OR($C40="12:15 PM",$C40="2:00 PM"),OR('Control Center'!$B$5="N",$K40&lt;&gt;"Y")),"Y","N"))</f>
        <v/>
      </c>
      <c r="X40" s="228" t="n"/>
      <c r="Y40" s="229" t="n"/>
      <c r="Z40" s="228" t="n"/>
      <c r="AA40" s="229" t="n"/>
      <c r="AB40" s="230">
        <f>IF($B40="","",IF($P40="Y",IF($Y40="Y","Completed","In Progress"),""))</f>
        <v/>
      </c>
      <c r="AC40" s="119">
        <f>IF($B40="","",IF(COUNTIFS('Approved Absences'!$A$2:$A$200,$B40,'Approved Absences'!$B$2:$B$200,"&lt;="&amp;INT('Control Center'!$B$3),'Approved Absences'!$C$2:$C$200,"&gt;="&amp;INT('Control Center'!$B$3))&gt;0,"Y","N"))</f>
        <v/>
      </c>
      <c r="AD40" s="119">
        <f>IF($B40="","",IF(AND($G40="Y",$AC40&lt;&gt;"Y",ISERROR(SEARCH(TEXT('Control Center'!$B$3,"ddd"),TRIM($D40)))),"Y","N"))</f>
        <v/>
      </c>
      <c r="AE40" s="119">
        <f>IF(AND(AD40="Y",C40="3:45 AM",E40="N",K40&lt;&gt;"Y"),COUNTIFS($AD$2:AD40,"Y",$C$2:C40,"3:45 AM",$E$2:E40,"N",$K$2:K40,"&lt;&gt;Y"),"")</f>
        <v/>
      </c>
      <c r="AF40" s="119">
        <f>IF(AND(AD40="Y",C40="5:45 AM",E40="N",K40&lt;&gt;"Y"),COUNTIFS($AD$2:AD40,"Y",$C$2:C40,"5:45 AM",$E$2:E40,"N",$K$2:K40,"&lt;&gt;Y"),"")</f>
        <v/>
      </c>
      <c r="AG40" s="119">
        <f>IF(AND(AD40="Y",C40="3:45 AM",E40="N",L40="Y",K40&lt;&gt;"Y"),COUNTIFS($AD$2:AD40,"Y",$C$2:C40,"3:45 AM",$E$2:E40,"N",$L$2:L40,"Y",$K$2:K40,"&lt;&gt;Y"),"")</f>
        <v/>
      </c>
      <c r="AH40" s="119">
        <f>IF(AND(AD40="Y",C40="5:45 AM",E40="N",L40="Y",K40&lt;&gt;"Y"),COUNTIFS($AD$2:AD40,"Y",$C$2:C40,"5:45 AM",$E$2:E40,"N",$L$2:L40,"Y",$K$2:K40,"&lt;&gt;Y"),"")</f>
        <v/>
      </c>
      <c r="AI40" s="119">
        <f>IF(AND(AD40="Y",E40="N",K40="Y",OR(C40="3:45 AM",C40="5:45 AM")),SUMPRODUCT(($AD$2:AD40="Y")*($E$2:E40="N")*($K$2:K40="Y")*(($C$2:C40="3:45 AM")+($C$2:C40="5:45 AM"))), "")</f>
        <v/>
      </c>
      <c r="AJ40" s="119">
        <f>IF(AND(AD40="Y",C40="3:45 AM",E40="N",J40="Y"),COUNTIFS($AD$2:AD40,"Y",$C$2:C40,"3:45 AM",$E$2:E40,"N",$J$2:J40,"Y"),"")</f>
        <v/>
      </c>
      <c r="AK40" s="119">
        <f>IF(AND(AD40="Y",E40="N",I40="Y",OR(C40="3:45 AM",C40="5:45 AM")),SUMPRODUCT(($AD$2:AD40="Y")*($E$2:E40="N")*($I$2:I40="Y")*(($C$2:C40="3:45 AM")+($C$2:C40="5:45 AM"))), "")</f>
        <v/>
      </c>
      <c r="AL40" s="119">
        <f>IF(AND(AD40="Y",C40="12:15 PM",E40="N",K40&lt;&gt;"Y"),COUNTIFS($AD$2:AD40,"Y",$C$2:C40,"12:15 PM",$E$2:E40,"N",$K$2:K40,"&lt;&gt;Y"),"")</f>
        <v/>
      </c>
      <c r="AM40" s="119">
        <f>IF(AND(AD40="Y",C40="2:00 PM",E40="N",K40&lt;&gt;"Y"),COUNTIFS($AD$2:AD40,"Y",$C$2:C40,"2:00 PM",$E$2:E40,"N",$K$2:K40,"&lt;&gt;Y"),"")</f>
        <v/>
      </c>
      <c r="AN40" s="119">
        <f>IF(AND(AD40="Y",E40="N",K40="Y",OR(C40="12:15 PM",C40="2:00 PM")),SUMPRODUCT(($AD$2:AD40="Y")*($E$2:E40="N")*($K$2:K40="Y")*(($C$2:C40="12:15 PM")+($C$2:C40="2:00 PM"))), "")</f>
        <v/>
      </c>
      <c r="AO40" s="119">
        <f>IF(AND(AD40="Y",C40="12:15 PM",E40="N",L40="Y"),COUNTIFS($AD$2:AD40,"Y",$C$2:C40,"12:15 PM",$E$2:E40,"N",$L$2:L40,"Y"),"")</f>
        <v/>
      </c>
      <c r="AP40" s="119">
        <f>IF(AND(AD40="Y",C40="2:00 PM",E40="N",L40="Y"),COUNTIFS($AD$2:AD40,"Y",$C$2:C40,"2:00 PM",$E$2:E40,"N",$L$2:L40,"Y"),"")</f>
        <v/>
      </c>
    </row>
    <row r="41" ht="14.25" customHeight="1" s="120">
      <c r="A41" s="231" t="inlineStr">
        <is>
          <t>EMP-0041</t>
        </is>
      </c>
      <c r="B41" s="232" t="inlineStr">
        <is>
          <t>Cicely Thicklin</t>
        </is>
      </c>
      <c r="C41" s="232" t="inlineStr">
        <is>
          <t>5:45 AM</t>
        </is>
      </c>
      <c r="D41" s="232" t="inlineStr">
        <is>
          <t>Sat, Sun</t>
        </is>
      </c>
      <c r="E41" s="232" t="inlineStr">
        <is>
          <t>N</t>
        </is>
      </c>
      <c r="F41" s="232" t="inlineStr">
        <is>
          <t>N</t>
        </is>
      </c>
      <c r="G41" s="232" t="inlineStr">
        <is>
          <t>Y</t>
        </is>
      </c>
      <c r="H41" s="232" t="inlineStr">
        <is>
          <t>None</t>
        </is>
      </c>
      <c r="I41" s="232" t="inlineStr">
        <is>
          <t>N</t>
        </is>
      </c>
      <c r="J41" s="232" t="inlineStr">
        <is>
          <t>N</t>
        </is>
      </c>
      <c r="K41" s="232" t="inlineStr">
        <is>
          <t>Y</t>
        </is>
      </c>
      <c r="L41" s="232" t="inlineStr">
        <is>
          <t>Y</t>
        </is>
      </c>
      <c r="M41" s="232" t="inlineStr">
        <is>
          <t>Standard</t>
        </is>
      </c>
      <c r="N41" s="232" t="n"/>
      <c r="O41" s="232" t="n"/>
      <c r="P41" s="232" t="inlineStr">
        <is>
          <t>N</t>
        </is>
      </c>
      <c r="Q41" s="232" t="n"/>
      <c r="R41" s="232" t="n"/>
      <c r="S41" s="232" t="n"/>
      <c r="T41" s="233" t="inlineStr">
        <is>
          <t>N</t>
        </is>
      </c>
      <c r="U41" s="227">
        <f>IF($B41="","",IF(AND($G41="Y",ISERROR(SEARCH(TEXT('Control Center'!$B$3,"ddd"),TRIM($D41)))),"Y","N"))</f>
        <v/>
      </c>
      <c r="V41" s="227">
        <f>IF($B41="","",IF(AND($U41="Y",OR($C41="3:45 AM",$C41="5:45 AM"),OR('Control Center'!$B$4="N",$K41&lt;&gt;"Y")),"Y","N"))</f>
        <v/>
      </c>
      <c r="W41" s="227">
        <f>IF($B41="","",IF(AND($U41="Y",OR($C41="12:15 PM",$C41="2:00 PM"),OR('Control Center'!$B$5="N",$K41&lt;&gt;"Y")),"Y","N"))</f>
        <v/>
      </c>
      <c r="X41" s="228" t="n"/>
      <c r="Y41" s="229" t="n"/>
      <c r="Z41" s="228" t="n"/>
      <c r="AA41" s="229" t="n"/>
      <c r="AB41" s="230">
        <f>IF($B41="","",IF($P41="Y",IF($Y41="Y","Completed","In Progress"),""))</f>
        <v/>
      </c>
      <c r="AC41" s="119">
        <f>IF($B41="","",IF(COUNTIFS('Approved Absences'!$A$2:$A$200,$B41,'Approved Absences'!$B$2:$B$200,"&lt;="&amp;INT('Control Center'!$B$3),'Approved Absences'!$C$2:$C$200,"&gt;="&amp;INT('Control Center'!$B$3))&gt;0,"Y","N"))</f>
        <v/>
      </c>
      <c r="AD41" s="119">
        <f>IF($B41="","",IF(AND($G41="Y",$AC41&lt;&gt;"Y",ISERROR(SEARCH(TEXT('Control Center'!$B$3,"ddd"),TRIM($D41)))),"Y","N"))</f>
        <v/>
      </c>
      <c r="AE41" s="119">
        <f>IF(AND(AD41="Y",C41="3:45 AM",E41="N",K41&lt;&gt;"Y"),COUNTIFS($AD$2:AD41,"Y",$C$2:C41,"3:45 AM",$E$2:E41,"N",$K$2:K41,"&lt;&gt;Y"),"")</f>
        <v/>
      </c>
      <c r="AF41" s="119">
        <f>IF(AND(AD41="Y",C41="5:45 AM",E41="N",K41&lt;&gt;"Y"),COUNTIFS($AD$2:AD41,"Y",$C$2:C41,"5:45 AM",$E$2:E41,"N",$K$2:K41,"&lt;&gt;Y"),"")</f>
        <v/>
      </c>
      <c r="AG41" s="119">
        <f>IF(AND(AD41="Y",C41="3:45 AM",E41="N",L41="Y",K41&lt;&gt;"Y"),COUNTIFS($AD$2:AD41,"Y",$C$2:C41,"3:45 AM",$E$2:E41,"N",$L$2:L41,"Y",$K$2:K41,"&lt;&gt;Y"),"")</f>
        <v/>
      </c>
      <c r="AH41" s="119">
        <f>IF(AND(AD41="Y",C41="5:45 AM",E41="N",L41="Y",K41&lt;&gt;"Y"),COUNTIFS($AD$2:AD41,"Y",$C$2:C41,"5:45 AM",$E$2:E41,"N",$L$2:L41,"Y",$K$2:K41,"&lt;&gt;Y"),"")</f>
        <v/>
      </c>
      <c r="AI41" s="119">
        <f>IF(AND(AD41="Y",E41="N",K41="Y",OR(C41="3:45 AM",C41="5:45 AM")),SUMPRODUCT(($AD$2:AD41="Y")*($E$2:E41="N")*($K$2:K41="Y")*(($C$2:C41="3:45 AM")+($C$2:C41="5:45 AM"))), "")</f>
        <v/>
      </c>
      <c r="AJ41" s="119">
        <f>IF(AND(AD41="Y",C41="3:45 AM",E41="N",J41="Y"),COUNTIFS($AD$2:AD41,"Y",$C$2:C41,"3:45 AM",$E$2:E41,"N",$J$2:J41,"Y"),"")</f>
        <v/>
      </c>
      <c r="AK41" s="119">
        <f>IF(AND(AD41="Y",E41="N",I41="Y",OR(C41="3:45 AM",C41="5:45 AM")),SUMPRODUCT(($AD$2:AD41="Y")*($E$2:E41="N")*($I$2:I41="Y")*(($C$2:C41="3:45 AM")+($C$2:C41="5:45 AM"))), "")</f>
        <v/>
      </c>
      <c r="AL41" s="119">
        <f>IF(AND(AD41="Y",C41="12:15 PM",E41="N",K41&lt;&gt;"Y"),COUNTIFS($AD$2:AD41,"Y",$C$2:C41,"12:15 PM",$E$2:E41,"N",$K$2:K41,"&lt;&gt;Y"),"")</f>
        <v/>
      </c>
      <c r="AM41" s="119">
        <f>IF(AND(AD41="Y",C41="2:00 PM",E41="N",K41&lt;&gt;"Y"),COUNTIFS($AD$2:AD41,"Y",$C$2:C41,"2:00 PM",$E$2:E41,"N",$K$2:K41,"&lt;&gt;Y"),"")</f>
        <v/>
      </c>
      <c r="AN41" s="119">
        <f>IF(AND(AD41="Y",E41="N",K41="Y",OR(C41="12:15 PM",C41="2:00 PM")),SUMPRODUCT(($AD$2:AD41="Y")*($E$2:E41="N")*($K$2:K41="Y")*(($C$2:C41="12:15 PM")+($C$2:C41="2:00 PM"))), "")</f>
        <v/>
      </c>
      <c r="AO41" s="119">
        <f>IF(AND(AD41="Y",C41="12:15 PM",E41="N",L41="Y"),COUNTIFS($AD$2:AD41,"Y",$C$2:C41,"12:15 PM",$E$2:E41,"N",$L$2:L41,"Y"),"")</f>
        <v/>
      </c>
      <c r="AP41" s="119">
        <f>IF(AND(AD41="Y",C41="2:00 PM",E41="N",L41="Y"),COUNTIFS($AD$2:AD41,"Y",$C$2:C41,"2:00 PM",$E$2:E41,"N",$L$2:L41,"Y"),"")</f>
        <v/>
      </c>
    </row>
    <row r="42" ht="14.25" customHeight="1" s="120">
      <c r="A42" s="231" t="inlineStr">
        <is>
          <t>EMP-0042</t>
        </is>
      </c>
      <c r="B42" s="232" t="inlineStr">
        <is>
          <t>Crosby Pavon-Lacayo</t>
        </is>
      </c>
      <c r="C42" s="232" t="inlineStr">
        <is>
          <t>9:15 PM</t>
        </is>
      </c>
      <c r="D42" s="232" t="inlineStr">
        <is>
          <t>Mon, Tue</t>
        </is>
      </c>
      <c r="E42" s="232" t="inlineStr">
        <is>
          <t>N</t>
        </is>
      </c>
      <c r="F42" s="232" t="inlineStr">
        <is>
          <t>N</t>
        </is>
      </c>
      <c r="G42" s="232" t="inlineStr">
        <is>
          <t>Y</t>
        </is>
      </c>
      <c r="H42" s="232" t="inlineStr">
        <is>
          <t>None</t>
        </is>
      </c>
      <c r="I42" s="232" t="inlineStr">
        <is>
          <t>N</t>
        </is>
      </c>
      <c r="J42" s="232" t="inlineStr">
        <is>
          <t>N</t>
        </is>
      </c>
      <c r="K42" s="232" t="inlineStr">
        <is>
          <t>N</t>
        </is>
      </c>
      <c r="L42" s="232" t="inlineStr">
        <is>
          <t>Y</t>
        </is>
      </c>
      <c r="M42" s="232" t="inlineStr">
        <is>
          <t>Standard</t>
        </is>
      </c>
      <c r="N42" s="232" t="n"/>
      <c r="O42" s="232" t="n"/>
      <c r="P42" s="232" t="inlineStr">
        <is>
          <t>N</t>
        </is>
      </c>
      <c r="Q42" s="232" t="n"/>
      <c r="R42" s="232" t="n"/>
      <c r="S42" s="232" t="n"/>
      <c r="T42" s="233" t="inlineStr">
        <is>
          <t>N</t>
        </is>
      </c>
      <c r="U42" s="227">
        <f>IF($B42="","",IF(AND($G42="Y",ISERROR(SEARCH(TEXT('Control Center'!$B$3,"ddd"),TRIM($D42)))),"Y","N"))</f>
        <v/>
      </c>
      <c r="V42" s="227">
        <f>IF($B42="","",IF(AND($U42="Y",OR($C42="3:45 AM",$C42="5:45 AM"),OR('Control Center'!$B$4="N",$K42&lt;&gt;"Y")),"Y","N"))</f>
        <v/>
      </c>
      <c r="W42" s="227">
        <f>IF($B42="","",IF(AND($U42="Y",OR($C42="12:15 PM",$C42="2:00 PM"),OR('Control Center'!$B$5="N",$K42&lt;&gt;"Y")),"Y","N"))</f>
        <v/>
      </c>
      <c r="X42" s="228" t="n"/>
      <c r="Y42" s="229" t="n"/>
      <c r="Z42" s="228" t="n"/>
      <c r="AA42" s="229" t="n"/>
      <c r="AB42" s="230">
        <f>IF($B42="","",IF($P42="Y",IF($Y42="Y","Completed","In Progress"),""))</f>
        <v/>
      </c>
      <c r="AC42" s="119">
        <f>IF($B42="","",IF(COUNTIFS('Approved Absences'!$A$2:$A$200,$B42,'Approved Absences'!$B$2:$B$200,"&lt;="&amp;INT('Control Center'!$B$3),'Approved Absences'!$C$2:$C$200,"&gt;="&amp;INT('Control Center'!$B$3))&gt;0,"Y","N"))</f>
        <v/>
      </c>
      <c r="AD42" s="119">
        <f>IF($B42="","",IF(AND($G42="Y",$AC42&lt;&gt;"Y",ISERROR(SEARCH(TEXT('Control Center'!$B$3,"ddd"),TRIM($D42)))),"Y","N"))</f>
        <v/>
      </c>
      <c r="AE42" s="119">
        <f>IF(AND(AD42="Y",C42="3:45 AM",E42="N",K42&lt;&gt;"Y"),COUNTIFS($AD$2:AD42,"Y",$C$2:C42,"3:45 AM",$E$2:E42,"N",$K$2:K42,"&lt;&gt;Y"),"")</f>
        <v/>
      </c>
      <c r="AF42" s="119">
        <f>IF(AND(AD42="Y",C42="5:45 AM",E42="N",K42&lt;&gt;"Y"),COUNTIFS($AD$2:AD42,"Y",$C$2:C42,"5:45 AM",$E$2:E42,"N",$K$2:K42,"&lt;&gt;Y"),"")</f>
        <v/>
      </c>
      <c r="AG42" s="119">
        <f>IF(AND(AD42="Y",C42="3:45 AM",E42="N",L42="Y",K42&lt;&gt;"Y"),COUNTIFS($AD$2:AD42,"Y",$C$2:C42,"3:45 AM",$E$2:E42,"N",$L$2:L42,"Y",$K$2:K42,"&lt;&gt;Y"),"")</f>
        <v/>
      </c>
      <c r="AH42" s="119">
        <f>IF(AND(AD42="Y",C42="5:45 AM",E42="N",L42="Y",K42&lt;&gt;"Y"),COUNTIFS($AD$2:AD42,"Y",$C$2:C42,"5:45 AM",$E$2:E42,"N",$L$2:L42,"Y",$K$2:K42,"&lt;&gt;Y"),"")</f>
        <v/>
      </c>
      <c r="AI42" s="119">
        <f>IF(AND(AD42="Y",E42="N",K42="Y",OR(C42="3:45 AM",C42="5:45 AM")),SUMPRODUCT(($AD$2:AD42="Y")*($E$2:E42="N")*($K$2:K42="Y")*(($C$2:C42="3:45 AM")+($C$2:C42="5:45 AM"))), "")</f>
        <v/>
      </c>
      <c r="AJ42" s="119">
        <f>IF(AND(AD42="Y",C42="3:45 AM",E42="N",J42="Y"),COUNTIFS($AD$2:AD42,"Y",$C$2:C42,"3:45 AM",$E$2:E42,"N",$J$2:J42,"Y"),"")</f>
        <v/>
      </c>
      <c r="AK42" s="119">
        <f>IF(AND(AD42="Y",E42="N",I42="Y",OR(C42="3:45 AM",C42="5:45 AM")),SUMPRODUCT(($AD$2:AD42="Y")*($E$2:E42="N")*($I$2:I42="Y")*(($C$2:C42="3:45 AM")+($C$2:C42="5:45 AM"))), "")</f>
        <v/>
      </c>
      <c r="AL42" s="119">
        <f>IF(AND(AD42="Y",C42="12:15 PM",E42="N",K42&lt;&gt;"Y"),COUNTIFS($AD$2:AD42,"Y",$C$2:C42,"12:15 PM",$E$2:E42,"N",$K$2:K42,"&lt;&gt;Y"),"")</f>
        <v/>
      </c>
      <c r="AM42" s="119">
        <f>IF(AND(AD42="Y",C42="2:00 PM",E42="N",K42&lt;&gt;"Y"),COUNTIFS($AD$2:AD42,"Y",$C$2:C42,"2:00 PM",$E$2:E42,"N",$K$2:K42,"&lt;&gt;Y"),"")</f>
        <v/>
      </c>
      <c r="AN42" s="119">
        <f>IF(AND(AD42="Y",E42="N",K42="Y",OR(C42="12:15 PM",C42="2:00 PM")),SUMPRODUCT(($AD$2:AD42="Y")*($E$2:E42="N")*($K$2:K42="Y")*(($C$2:C42="12:15 PM")+($C$2:C42="2:00 PM"))), "")</f>
        <v/>
      </c>
      <c r="AO42" s="119">
        <f>IF(AND(AD42="Y",C42="12:15 PM",E42="N",L42="Y"),COUNTIFS($AD$2:AD42,"Y",$C$2:C42,"12:15 PM",$E$2:E42,"N",$L$2:L42,"Y"),"")</f>
        <v/>
      </c>
      <c r="AP42" s="119">
        <f>IF(AND(AD42="Y",C42="2:00 PM",E42="N",L42="Y"),COUNTIFS($AD$2:AD42,"Y",$C$2:C42,"2:00 PM",$E$2:E42,"N",$L$2:L42,"Y"),"")</f>
        <v/>
      </c>
    </row>
    <row r="43" ht="14.25" customHeight="1" s="120">
      <c r="A43" s="231" t="inlineStr">
        <is>
          <t>EMP-0043</t>
        </is>
      </c>
      <c r="B43" s="232" t="inlineStr">
        <is>
          <t>Curtis Raiford</t>
        </is>
      </c>
      <c r="C43" s="232" t="inlineStr">
        <is>
          <t>3:45 AM</t>
        </is>
      </c>
      <c r="D43" s="232" t="inlineStr">
        <is>
          <t>Tue, Wed</t>
        </is>
      </c>
      <c r="E43" s="232" t="inlineStr">
        <is>
          <t>Y</t>
        </is>
      </c>
      <c r="F43" s="232" t="inlineStr">
        <is>
          <t>N</t>
        </is>
      </c>
      <c r="G43" s="232" t="inlineStr">
        <is>
          <t>Y</t>
        </is>
      </c>
      <c r="H43" s="232" t="inlineStr">
        <is>
          <t>None</t>
        </is>
      </c>
      <c r="I43" s="232" t="inlineStr">
        <is>
          <t>N</t>
        </is>
      </c>
      <c r="J43" s="232" t="inlineStr">
        <is>
          <t>Y</t>
        </is>
      </c>
      <c r="K43" s="232" t="inlineStr">
        <is>
          <t>N</t>
        </is>
      </c>
      <c r="L43" s="232" t="inlineStr">
        <is>
          <t>Y</t>
        </is>
      </c>
      <c r="M43" s="232" t="inlineStr">
        <is>
          <t>Standard</t>
        </is>
      </c>
      <c r="N43" s="232" t="n"/>
      <c r="O43" s="232" t="n"/>
      <c r="P43" s="232" t="inlineStr">
        <is>
          <t>N</t>
        </is>
      </c>
      <c r="Q43" s="232" t="n"/>
      <c r="R43" s="232" t="n"/>
      <c r="S43" s="232" t="n"/>
      <c r="T43" s="233" t="inlineStr">
        <is>
          <t>N</t>
        </is>
      </c>
      <c r="U43" s="227">
        <f>IF($B43="","",IF(AND($G43="Y",ISERROR(SEARCH(TEXT('Control Center'!$B$3,"ddd"),TRIM($D43)))),"Y","N"))</f>
        <v/>
      </c>
      <c r="V43" s="227">
        <f>IF($B43="","",IF(AND($U43="Y",OR($C43="3:45 AM",$C43="5:45 AM"),OR('Control Center'!$B$4="N",$K43&lt;&gt;"Y")),"Y","N"))</f>
        <v/>
      </c>
      <c r="W43" s="227">
        <f>IF($B43="","",IF(AND($U43="Y",OR($C43="12:15 PM",$C43="2:00 PM"),OR('Control Center'!$B$5="N",$K43&lt;&gt;"Y")),"Y","N"))</f>
        <v/>
      </c>
      <c r="X43" s="228" t="n"/>
      <c r="Y43" s="229" t="n"/>
      <c r="Z43" s="228" t="n"/>
      <c r="AA43" s="229" t="n"/>
      <c r="AB43" s="230">
        <f>IF($B43="","",IF($P43="Y",IF($Y43="Y","Completed","In Progress"),""))</f>
        <v/>
      </c>
      <c r="AC43" s="119">
        <f>IF($B43="","",IF(COUNTIFS('Approved Absences'!$A$2:$A$200,$B43,'Approved Absences'!$B$2:$B$200,"&lt;="&amp;INT('Control Center'!$B$3),'Approved Absences'!$C$2:$C$200,"&gt;="&amp;INT('Control Center'!$B$3))&gt;0,"Y","N"))</f>
        <v/>
      </c>
      <c r="AD43" s="119">
        <f>IF($B43="","",IF(AND($G43="Y",$AC43&lt;&gt;"Y",ISERROR(SEARCH(TEXT('Control Center'!$B$3,"ddd"),TRIM($D43)))),"Y","N"))</f>
        <v/>
      </c>
      <c r="AE43" s="119">
        <f>IF(AND(AD43="Y",C43="3:45 AM",E43="N",K43&lt;&gt;"Y"),COUNTIFS($AD$2:AD43,"Y",$C$2:C43,"3:45 AM",$E$2:E43,"N",$K$2:K43,"&lt;&gt;Y"),"")</f>
        <v/>
      </c>
      <c r="AF43" s="119">
        <f>IF(AND(AD43="Y",C43="5:45 AM",E43="N",K43&lt;&gt;"Y"),COUNTIFS($AD$2:AD43,"Y",$C$2:C43,"5:45 AM",$E$2:E43,"N",$K$2:K43,"&lt;&gt;Y"),"")</f>
        <v/>
      </c>
      <c r="AG43" s="119">
        <f>IF(AND(AD43="Y",C43="3:45 AM",E43="N",L43="Y",K43&lt;&gt;"Y"),COUNTIFS($AD$2:AD43,"Y",$C$2:C43,"3:45 AM",$E$2:E43,"N",$L$2:L43,"Y",$K$2:K43,"&lt;&gt;Y"),"")</f>
        <v/>
      </c>
      <c r="AH43" s="119">
        <f>IF(AND(AD43="Y",C43="5:45 AM",E43="N",L43="Y",K43&lt;&gt;"Y"),COUNTIFS($AD$2:AD43,"Y",$C$2:C43,"5:45 AM",$E$2:E43,"N",$L$2:L43,"Y",$K$2:K43,"&lt;&gt;Y"),"")</f>
        <v/>
      </c>
      <c r="AI43" s="119">
        <f>IF(AND(AD43="Y",E43="N",K43="Y",OR(C43="3:45 AM",C43="5:45 AM")),SUMPRODUCT(($AD$2:AD43="Y")*($E$2:E43="N")*($K$2:K43="Y")*(($C$2:C43="3:45 AM")+($C$2:C43="5:45 AM"))), "")</f>
        <v/>
      </c>
      <c r="AJ43" s="119">
        <f>IF(AND(AD43="Y",C43="3:45 AM",E43="N",J43="Y"),COUNTIFS($AD$2:AD43,"Y",$C$2:C43,"3:45 AM",$E$2:E43,"N",$J$2:J43,"Y"),"")</f>
        <v/>
      </c>
      <c r="AK43" s="119">
        <f>IF(AND(AD43="Y",E43="N",I43="Y",OR(C43="3:45 AM",C43="5:45 AM")),SUMPRODUCT(($AD$2:AD43="Y")*($E$2:E43="N")*($I$2:I43="Y")*(($C$2:C43="3:45 AM")+($C$2:C43="5:45 AM"))), "")</f>
        <v/>
      </c>
      <c r="AL43" s="119">
        <f>IF(AND(AD43="Y",C43="12:15 PM",E43="N",K43&lt;&gt;"Y"),COUNTIFS($AD$2:AD43,"Y",$C$2:C43,"12:15 PM",$E$2:E43,"N",$K$2:K43,"&lt;&gt;Y"),"")</f>
        <v/>
      </c>
      <c r="AM43" s="119">
        <f>IF(AND(AD43="Y",C43="2:00 PM",E43="N",K43&lt;&gt;"Y"),COUNTIFS($AD$2:AD43,"Y",$C$2:C43,"2:00 PM",$E$2:E43,"N",$K$2:K43,"&lt;&gt;Y"),"")</f>
        <v/>
      </c>
      <c r="AN43" s="119">
        <f>IF(AND(AD43="Y",E43="N",K43="Y",OR(C43="12:15 PM",C43="2:00 PM")),SUMPRODUCT(($AD$2:AD43="Y")*($E$2:E43="N")*($K$2:K43="Y")*(($C$2:C43="12:15 PM")+($C$2:C43="2:00 PM"))), "")</f>
        <v/>
      </c>
      <c r="AO43" s="119">
        <f>IF(AND(AD43="Y",C43="12:15 PM",E43="N",L43="Y"),COUNTIFS($AD$2:AD43,"Y",$C$2:C43,"12:15 PM",$E$2:E43,"N",$L$2:L43,"Y"),"")</f>
        <v/>
      </c>
      <c r="AP43" s="119">
        <f>IF(AND(AD43="Y",C43="2:00 PM",E43="N",L43="Y"),COUNTIFS($AD$2:AD43,"Y",$C$2:C43,"2:00 PM",$E$2:E43,"N",$L$2:L43,"Y"),"")</f>
        <v/>
      </c>
    </row>
    <row r="44" ht="14.25" customHeight="1" s="120">
      <c r="A44" s="231" t="inlineStr">
        <is>
          <t>EMP-0044</t>
        </is>
      </c>
      <c r="B44" s="232" t="inlineStr">
        <is>
          <t>Danielle Holmes</t>
        </is>
      </c>
      <c r="C44" s="232" t="inlineStr">
        <is>
          <t>3:45 AM</t>
        </is>
      </c>
      <c r="D44" s="232" t="inlineStr">
        <is>
          <t>Sun, Mon</t>
        </is>
      </c>
      <c r="E44" s="232" t="inlineStr">
        <is>
          <t>N</t>
        </is>
      </c>
      <c r="F44" s="232" t="inlineStr">
        <is>
          <t>N</t>
        </is>
      </c>
      <c r="G44" s="232" t="inlineStr">
        <is>
          <t>Y</t>
        </is>
      </c>
      <c r="H44" s="232" t="inlineStr">
        <is>
          <t>None</t>
        </is>
      </c>
      <c r="I44" s="232" t="inlineStr">
        <is>
          <t>Y</t>
        </is>
      </c>
      <c r="J44" s="232" t="inlineStr">
        <is>
          <t>N</t>
        </is>
      </c>
      <c r="K44" s="232" t="inlineStr">
        <is>
          <t>N</t>
        </is>
      </c>
      <c r="L44" s="232" t="inlineStr">
        <is>
          <t>N</t>
        </is>
      </c>
      <c r="M44" s="232" t="inlineStr">
        <is>
          <t>Fixed All Shift</t>
        </is>
      </c>
      <c r="N44" s="232" t="inlineStr">
        <is>
          <t>45 | Information Desk Personnel</t>
        </is>
      </c>
      <c r="O44" s="232" t="inlineStr">
        <is>
          <t>Tue, Wed, Thu, Fri, Sat</t>
        </is>
      </c>
      <c r="P44" s="232" t="inlineStr">
        <is>
          <t>N</t>
        </is>
      </c>
      <c r="Q44" s="232" t="n"/>
      <c r="R44" s="232" t="n"/>
      <c r="S44" s="232" t="n"/>
      <c r="T44" s="233" t="inlineStr">
        <is>
          <t>N</t>
        </is>
      </c>
      <c r="U44" s="227">
        <f>IF($B44="","",IF(AND($G44="Y",ISERROR(SEARCH(TEXT('Control Center'!$B$3,"ddd"),TRIM($D44)))),"Y","N"))</f>
        <v/>
      </c>
      <c r="V44" s="227">
        <f>IF($B44="","",IF(AND($U44="Y",OR($C44="3:45 AM",$C44="5:45 AM"),OR('Control Center'!$B$4="N",$K44&lt;&gt;"Y")),"Y","N"))</f>
        <v/>
      </c>
      <c r="W44" s="227">
        <f>IF($B44="","",IF(AND($U44="Y",OR($C44="12:15 PM",$C44="2:00 PM"),OR('Control Center'!$B$5="N",$K44&lt;&gt;"Y")),"Y","N"))</f>
        <v/>
      </c>
      <c r="X44" s="228" t="n"/>
      <c r="Y44" s="229" t="n"/>
      <c r="Z44" s="228" t="n"/>
      <c r="AA44" s="229" t="n"/>
      <c r="AB44" s="230">
        <f>IF($B44="","",IF($P44="Y",IF($Y44="Y","Completed","In Progress"),""))</f>
        <v/>
      </c>
      <c r="AC44" s="119">
        <f>IF($B44="","",IF(COUNTIFS('Approved Absences'!$A$2:$A$200,$B44,'Approved Absences'!$B$2:$B$200,"&lt;="&amp;INT('Control Center'!$B$3),'Approved Absences'!$C$2:$C$200,"&gt;="&amp;INT('Control Center'!$B$3))&gt;0,"Y","N"))</f>
        <v/>
      </c>
      <c r="AD44" s="119">
        <f>IF($B44="","",IF(AND($G44="Y",$AC44&lt;&gt;"Y",ISERROR(SEARCH(TEXT('Control Center'!$B$3,"ddd"),TRIM($D44)))),"Y","N"))</f>
        <v/>
      </c>
      <c r="AE44" s="119">
        <f>IF(AND(AD44="Y",C44="3:45 AM",E44="N",K44&lt;&gt;"Y"),COUNTIFS($AD$2:AD44,"Y",$C$2:C44,"3:45 AM",$E$2:E44,"N",$K$2:K44,"&lt;&gt;Y"),"")</f>
        <v/>
      </c>
      <c r="AF44" s="119">
        <f>IF(AND(AD44="Y",C44="5:45 AM",E44="N",K44&lt;&gt;"Y"),COUNTIFS($AD$2:AD44,"Y",$C$2:C44,"5:45 AM",$E$2:E44,"N",$K$2:K44,"&lt;&gt;Y"),"")</f>
        <v/>
      </c>
      <c r="AG44" s="119">
        <f>IF(AND(AD44="Y",C44="3:45 AM",E44="N",L44="Y",K44&lt;&gt;"Y"),COUNTIFS($AD$2:AD44,"Y",$C$2:C44,"3:45 AM",$E$2:E44,"N",$L$2:L44,"Y",$K$2:K44,"&lt;&gt;Y"),"")</f>
        <v/>
      </c>
      <c r="AH44" s="119">
        <f>IF(AND(AD44="Y",C44="5:45 AM",E44="N",L44="Y",K44&lt;&gt;"Y"),COUNTIFS($AD$2:AD44,"Y",$C$2:C44,"5:45 AM",$E$2:E44,"N",$L$2:L44,"Y",$K$2:K44,"&lt;&gt;Y"),"")</f>
        <v/>
      </c>
      <c r="AI44" s="119">
        <f>IF(AND(AD44="Y",E44="N",K44="Y",OR(C44="3:45 AM",C44="5:45 AM")),SUMPRODUCT(($AD$2:AD44="Y")*($E$2:E44="N")*($K$2:K44="Y")*(($C$2:C44="3:45 AM")+($C$2:C44="5:45 AM"))), "")</f>
        <v/>
      </c>
      <c r="AJ44" s="119">
        <f>IF(AND(AD44="Y",C44="3:45 AM",E44="N",J44="Y"),COUNTIFS($AD$2:AD44,"Y",$C$2:C44,"3:45 AM",$E$2:E44,"N",$J$2:J44,"Y"),"")</f>
        <v/>
      </c>
      <c r="AK44" s="119">
        <f>IF(AND(AD44="Y",E44="N",I44="Y",OR(C44="3:45 AM",C44="5:45 AM")),SUMPRODUCT(($AD$2:AD44="Y")*($E$2:E44="N")*($I$2:I44="Y")*(($C$2:C44="3:45 AM")+($C$2:C44="5:45 AM"))), "")</f>
        <v/>
      </c>
      <c r="AL44" s="119">
        <f>IF(AND(AD44="Y",C44="12:15 PM",E44="N",K44&lt;&gt;"Y"),COUNTIFS($AD$2:AD44,"Y",$C$2:C44,"12:15 PM",$E$2:E44,"N",$K$2:K44,"&lt;&gt;Y"),"")</f>
        <v/>
      </c>
      <c r="AM44" s="119">
        <f>IF(AND(AD44="Y",C44="2:00 PM",E44="N",K44&lt;&gt;"Y"),COUNTIFS($AD$2:AD44,"Y",$C$2:C44,"2:00 PM",$E$2:E44,"N",$K$2:K44,"&lt;&gt;Y"),"")</f>
        <v/>
      </c>
      <c r="AN44" s="119">
        <f>IF(AND(AD44="Y",E44="N",K44="Y",OR(C44="12:15 PM",C44="2:00 PM")),SUMPRODUCT(($AD$2:AD44="Y")*($E$2:E44="N")*($K$2:K44="Y")*(($C$2:C44="12:15 PM")+($C$2:C44="2:00 PM"))), "")</f>
        <v/>
      </c>
      <c r="AO44" s="119">
        <f>IF(AND(AD44="Y",C44="12:15 PM",E44="N",L44="Y"),COUNTIFS($AD$2:AD44,"Y",$C$2:C44,"12:15 PM",$E$2:E44,"N",$L$2:L44,"Y"),"")</f>
        <v/>
      </c>
      <c r="AP44" s="119">
        <f>IF(AND(AD44="Y",C44="2:00 PM",E44="N",L44="Y"),COUNTIFS($AD$2:AD44,"Y",$C$2:C44,"2:00 PM",$E$2:E44,"N",$L$2:L44,"Y"),"")</f>
        <v/>
      </c>
    </row>
    <row r="45" ht="14.25" customHeight="1" s="120">
      <c r="A45" s="231" t="inlineStr">
        <is>
          <t>EMP-0045</t>
        </is>
      </c>
      <c r="B45" s="232" t="inlineStr">
        <is>
          <t>Darrius Dunlap</t>
        </is>
      </c>
      <c r="C45" s="232" t="inlineStr">
        <is>
          <t>12:15 PM</t>
        </is>
      </c>
      <c r="D45" s="232" t="inlineStr">
        <is>
          <t>Fri, Sat</t>
        </is>
      </c>
      <c r="E45" s="232" t="inlineStr">
        <is>
          <t>N</t>
        </is>
      </c>
      <c r="F45" s="232" t="inlineStr">
        <is>
          <t>Y</t>
        </is>
      </c>
      <c r="G45" s="232" t="inlineStr">
        <is>
          <t>Y</t>
        </is>
      </c>
      <c r="H45" s="232" t="inlineStr">
        <is>
          <t>None</t>
        </is>
      </c>
      <c r="I45" s="232" t="inlineStr">
        <is>
          <t>Y</t>
        </is>
      </c>
      <c r="J45" s="232" t="inlineStr">
        <is>
          <t>Y</t>
        </is>
      </c>
      <c r="K45" s="232" t="inlineStr">
        <is>
          <t>N</t>
        </is>
      </c>
      <c r="L45" s="232" t="inlineStr">
        <is>
          <t>Y</t>
        </is>
      </c>
      <c r="M45" s="232" t="inlineStr">
        <is>
          <t>Standard</t>
        </is>
      </c>
      <c r="N45" s="232" t="n"/>
      <c r="O45" s="232" t="n"/>
      <c r="P45" s="232" t="inlineStr">
        <is>
          <t>N</t>
        </is>
      </c>
      <c r="Q45" s="232" t="n"/>
      <c r="R45" s="232" t="n"/>
      <c r="S45" s="232" t="n"/>
      <c r="T45" s="233" t="inlineStr">
        <is>
          <t>N</t>
        </is>
      </c>
      <c r="U45" s="227">
        <f>IF($B45="","",IF(AND($G45="Y",ISERROR(SEARCH(TEXT('Control Center'!$B$3,"ddd"),TRIM($D45)))),"Y","N"))</f>
        <v/>
      </c>
      <c r="V45" s="227">
        <f>IF($B45="","",IF(AND($U45="Y",OR($C45="3:45 AM",$C45="5:45 AM"),OR('Control Center'!$B$4="N",$K45&lt;&gt;"Y")),"Y","N"))</f>
        <v/>
      </c>
      <c r="W45" s="227">
        <f>IF($B45="","",IF(AND($U45="Y",OR($C45="12:15 PM",$C45="2:00 PM"),OR('Control Center'!$B$5="N",$K45&lt;&gt;"Y")),"Y","N"))</f>
        <v/>
      </c>
      <c r="X45" s="228" t="n"/>
      <c r="Y45" s="229" t="n"/>
      <c r="Z45" s="228" t="n"/>
      <c r="AA45" s="229" t="n"/>
      <c r="AB45" s="230">
        <f>IF($B45="","",IF($P45="Y",IF($Y45="Y","Completed","In Progress"),""))</f>
        <v/>
      </c>
      <c r="AC45" s="119">
        <f>IF($B45="","",IF(COUNTIFS('Approved Absences'!$A$2:$A$200,$B45,'Approved Absences'!$B$2:$B$200,"&lt;="&amp;INT('Control Center'!$B$3),'Approved Absences'!$C$2:$C$200,"&gt;="&amp;INT('Control Center'!$B$3))&gt;0,"Y","N"))</f>
        <v/>
      </c>
      <c r="AD45" s="119">
        <f>IF($B45="","",IF(AND($G45="Y",$AC45&lt;&gt;"Y",ISERROR(SEARCH(TEXT('Control Center'!$B$3,"ddd"),TRIM($D45)))),"Y","N"))</f>
        <v/>
      </c>
      <c r="AE45" s="119">
        <f>IF(AND(AD45="Y",C45="3:45 AM",E45="N",K45&lt;&gt;"Y"),COUNTIFS($AD$2:AD45,"Y",$C$2:C45,"3:45 AM",$E$2:E45,"N",$K$2:K45,"&lt;&gt;Y"),"")</f>
        <v/>
      </c>
      <c r="AF45" s="119">
        <f>IF(AND(AD45="Y",C45="5:45 AM",E45="N",K45&lt;&gt;"Y"),COUNTIFS($AD$2:AD45,"Y",$C$2:C45,"5:45 AM",$E$2:E45,"N",$K$2:K45,"&lt;&gt;Y"),"")</f>
        <v/>
      </c>
      <c r="AG45" s="119">
        <f>IF(AND(AD45="Y",C45="3:45 AM",E45="N",L45="Y",K45&lt;&gt;"Y"),COUNTIFS($AD$2:AD45,"Y",$C$2:C45,"3:45 AM",$E$2:E45,"N",$L$2:L45,"Y",$K$2:K45,"&lt;&gt;Y"),"")</f>
        <v/>
      </c>
      <c r="AH45" s="119">
        <f>IF(AND(AD45="Y",C45="5:45 AM",E45="N",L45="Y",K45&lt;&gt;"Y"),COUNTIFS($AD$2:AD45,"Y",$C$2:C45,"5:45 AM",$E$2:E45,"N",$L$2:L45,"Y",$K$2:K45,"&lt;&gt;Y"),"")</f>
        <v/>
      </c>
      <c r="AI45" s="119">
        <f>IF(AND(AD45="Y",E45="N",K45="Y",OR(C45="3:45 AM",C45="5:45 AM")),SUMPRODUCT(($AD$2:AD45="Y")*($E$2:E45="N")*($K$2:K45="Y")*(($C$2:C45="3:45 AM")+($C$2:C45="5:45 AM"))), "")</f>
        <v/>
      </c>
      <c r="AJ45" s="119">
        <f>IF(AND(AD45="Y",C45="3:45 AM",E45="N",J45="Y"),COUNTIFS($AD$2:AD45,"Y",$C$2:C45,"3:45 AM",$E$2:E45,"N",$J$2:J45,"Y"),"")</f>
        <v/>
      </c>
      <c r="AK45" s="119">
        <f>IF(AND(AD45="Y",E45="N",I45="Y",OR(C45="3:45 AM",C45="5:45 AM")),SUMPRODUCT(($AD$2:AD45="Y")*($E$2:E45="N")*($I$2:I45="Y")*(($C$2:C45="3:45 AM")+($C$2:C45="5:45 AM"))), "")</f>
        <v/>
      </c>
      <c r="AL45" s="119">
        <f>IF(AND(AD45="Y",C45="12:15 PM",E45="N",K45&lt;&gt;"Y"),COUNTIFS($AD$2:AD45,"Y",$C$2:C45,"12:15 PM",$E$2:E45,"N",$K$2:K45,"&lt;&gt;Y"),"")</f>
        <v/>
      </c>
      <c r="AM45" s="119">
        <f>IF(AND(AD45="Y",C45="2:00 PM",E45="N",K45&lt;&gt;"Y"),COUNTIFS($AD$2:AD45,"Y",$C$2:C45,"2:00 PM",$E$2:E45,"N",$K$2:K45,"&lt;&gt;Y"),"")</f>
        <v/>
      </c>
      <c r="AN45" s="119">
        <f>IF(AND(AD45="Y",E45="N",K45="Y",OR(C45="12:15 PM",C45="2:00 PM")),SUMPRODUCT(($AD$2:AD45="Y")*($E$2:E45="N")*($K$2:K45="Y")*(($C$2:C45="12:15 PM")+($C$2:C45="2:00 PM"))), "")</f>
        <v/>
      </c>
      <c r="AO45" s="119">
        <f>IF(AND(AD45="Y",C45="12:15 PM",E45="N",L45="Y"),COUNTIFS($AD$2:AD45,"Y",$C$2:C45,"12:15 PM",$E$2:E45,"N",$L$2:L45,"Y"),"")</f>
        <v/>
      </c>
      <c r="AP45" s="119">
        <f>IF(AND(AD45="Y",C45="2:00 PM",E45="N",L45="Y"),COUNTIFS($AD$2:AD45,"Y",$C$2:C45,"2:00 PM",$E$2:E45,"N",$L$2:L45,"Y"),"")</f>
        <v/>
      </c>
    </row>
    <row r="46" ht="14.25" customHeight="1" s="120">
      <c r="A46" s="231" t="inlineStr">
        <is>
          <t>EMP-0046</t>
        </is>
      </c>
      <c r="B46" s="232" t="inlineStr">
        <is>
          <t>David Holloman</t>
        </is>
      </c>
      <c r="C46" s="232" t="inlineStr">
        <is>
          <t>12:15 PM</t>
        </is>
      </c>
      <c r="D46" s="232" t="inlineStr">
        <is>
          <t>Thu, Fri</t>
        </is>
      </c>
      <c r="E46" s="232" t="inlineStr">
        <is>
          <t>N</t>
        </is>
      </c>
      <c r="F46" s="232" t="inlineStr">
        <is>
          <t>N</t>
        </is>
      </c>
      <c r="G46" s="232" t="inlineStr">
        <is>
          <t>Y</t>
        </is>
      </c>
      <c r="H46" s="232" t="inlineStr">
        <is>
          <t>None</t>
        </is>
      </c>
      <c r="I46" s="232" t="inlineStr">
        <is>
          <t>N</t>
        </is>
      </c>
      <c r="J46" s="232" t="inlineStr">
        <is>
          <t>Y</t>
        </is>
      </c>
      <c r="K46" s="232" t="inlineStr">
        <is>
          <t>N</t>
        </is>
      </c>
      <c r="L46" s="232" t="inlineStr">
        <is>
          <t>Y</t>
        </is>
      </c>
      <c r="M46" s="232" t="inlineStr">
        <is>
          <t>Standard</t>
        </is>
      </c>
      <c r="N46" s="232" t="n"/>
      <c r="O46" s="232" t="n"/>
      <c r="P46" s="232" t="inlineStr">
        <is>
          <t>N</t>
        </is>
      </c>
      <c r="Q46" s="232" t="n"/>
      <c r="R46" s="232" t="n"/>
      <c r="S46" s="232" t="n"/>
      <c r="T46" s="233" t="inlineStr">
        <is>
          <t>N</t>
        </is>
      </c>
      <c r="U46" s="227">
        <f>IF($B46="","",IF(AND($G46="Y",ISERROR(SEARCH(TEXT('Control Center'!$B$3,"ddd"),TRIM($D46)))),"Y","N"))</f>
        <v/>
      </c>
      <c r="V46" s="227">
        <f>IF($B46="","",IF(AND($U46="Y",OR($C46="3:45 AM",$C46="5:45 AM"),OR('Control Center'!$B$4="N",$K46&lt;&gt;"Y")),"Y","N"))</f>
        <v/>
      </c>
      <c r="W46" s="227">
        <f>IF($B46="","",IF(AND($U46="Y",OR($C46="12:15 PM",$C46="2:00 PM"),OR('Control Center'!$B$5="N",$K46&lt;&gt;"Y")),"Y","N"))</f>
        <v/>
      </c>
      <c r="X46" s="228" t="n"/>
      <c r="Y46" s="229" t="n"/>
      <c r="Z46" s="228" t="n"/>
      <c r="AA46" s="229" t="n"/>
      <c r="AB46" s="230">
        <f>IF($B46="","",IF($P46="Y",IF($Y46="Y","Completed","In Progress"),""))</f>
        <v/>
      </c>
      <c r="AC46" s="119">
        <f>IF($B46="","",IF(COUNTIFS('Approved Absences'!$A$2:$A$200,$B46,'Approved Absences'!$B$2:$B$200,"&lt;="&amp;INT('Control Center'!$B$3),'Approved Absences'!$C$2:$C$200,"&gt;="&amp;INT('Control Center'!$B$3))&gt;0,"Y","N"))</f>
        <v/>
      </c>
      <c r="AD46" s="119">
        <f>IF($B46="","",IF(AND($G46="Y",$AC46&lt;&gt;"Y",ISERROR(SEARCH(TEXT('Control Center'!$B$3,"ddd"),TRIM($D46)))),"Y","N"))</f>
        <v/>
      </c>
      <c r="AE46" s="119">
        <f>IF(AND(AD46="Y",C46="3:45 AM",E46="N",K46&lt;&gt;"Y"),COUNTIFS($AD$2:AD46,"Y",$C$2:C46,"3:45 AM",$E$2:E46,"N",$K$2:K46,"&lt;&gt;Y"),"")</f>
        <v/>
      </c>
      <c r="AF46" s="119">
        <f>IF(AND(AD46="Y",C46="5:45 AM",E46="N",K46&lt;&gt;"Y"),COUNTIFS($AD$2:AD46,"Y",$C$2:C46,"5:45 AM",$E$2:E46,"N",$K$2:K46,"&lt;&gt;Y"),"")</f>
        <v/>
      </c>
      <c r="AG46" s="119">
        <f>IF(AND(AD46="Y",C46="3:45 AM",E46="N",L46="Y",K46&lt;&gt;"Y"),COUNTIFS($AD$2:AD46,"Y",$C$2:C46,"3:45 AM",$E$2:E46,"N",$L$2:L46,"Y",$K$2:K46,"&lt;&gt;Y"),"")</f>
        <v/>
      </c>
      <c r="AH46" s="119">
        <f>IF(AND(AD46="Y",C46="5:45 AM",E46="N",L46="Y",K46&lt;&gt;"Y"),COUNTIFS($AD$2:AD46,"Y",$C$2:C46,"5:45 AM",$E$2:E46,"N",$L$2:L46,"Y",$K$2:K46,"&lt;&gt;Y"),"")</f>
        <v/>
      </c>
      <c r="AI46" s="119">
        <f>IF(AND(AD46="Y",E46="N",K46="Y",OR(C46="3:45 AM",C46="5:45 AM")),SUMPRODUCT(($AD$2:AD46="Y")*($E$2:E46="N")*($K$2:K46="Y")*(($C$2:C46="3:45 AM")+($C$2:C46="5:45 AM"))), "")</f>
        <v/>
      </c>
      <c r="AJ46" s="119">
        <f>IF(AND(AD46="Y",C46="3:45 AM",E46="N",J46="Y"),COUNTIFS($AD$2:AD46,"Y",$C$2:C46,"3:45 AM",$E$2:E46,"N",$J$2:J46,"Y"),"")</f>
        <v/>
      </c>
      <c r="AK46" s="119">
        <f>IF(AND(AD46="Y",E46="N",I46="Y",OR(C46="3:45 AM",C46="5:45 AM")),SUMPRODUCT(($AD$2:AD46="Y")*($E$2:E46="N")*($I$2:I46="Y")*(($C$2:C46="3:45 AM")+($C$2:C46="5:45 AM"))), "")</f>
        <v/>
      </c>
      <c r="AL46" s="119">
        <f>IF(AND(AD46="Y",C46="12:15 PM",E46="N",K46&lt;&gt;"Y"),COUNTIFS($AD$2:AD46,"Y",$C$2:C46,"12:15 PM",$E$2:E46,"N",$K$2:K46,"&lt;&gt;Y"),"")</f>
        <v/>
      </c>
      <c r="AM46" s="119">
        <f>IF(AND(AD46="Y",C46="2:00 PM",E46="N",K46&lt;&gt;"Y"),COUNTIFS($AD$2:AD46,"Y",$C$2:C46,"2:00 PM",$E$2:E46,"N",$K$2:K46,"&lt;&gt;Y"),"")</f>
        <v/>
      </c>
      <c r="AN46" s="119">
        <f>IF(AND(AD46="Y",E46="N",K46="Y",OR(C46="12:15 PM",C46="2:00 PM")),SUMPRODUCT(($AD$2:AD46="Y")*($E$2:E46="N")*($K$2:K46="Y")*(($C$2:C46="12:15 PM")+($C$2:C46="2:00 PM"))), "")</f>
        <v/>
      </c>
      <c r="AO46" s="119">
        <f>IF(AND(AD46="Y",C46="12:15 PM",E46="N",L46="Y"),COUNTIFS($AD$2:AD46,"Y",$C$2:C46,"12:15 PM",$E$2:E46,"N",$L$2:L46,"Y"),"")</f>
        <v/>
      </c>
      <c r="AP46" s="119">
        <f>IF(AND(AD46="Y",C46="2:00 PM",E46="N",L46="Y"),COUNTIFS($AD$2:AD46,"Y",$C$2:C46,"2:00 PM",$E$2:E46,"N",$L$2:L46,"Y"),"")</f>
        <v/>
      </c>
    </row>
    <row r="47" ht="14.25" customHeight="1" s="120">
      <c r="A47" s="231" t="inlineStr">
        <is>
          <t>EMP-0047</t>
        </is>
      </c>
      <c r="B47" s="232" t="inlineStr">
        <is>
          <t>David Scoggin</t>
        </is>
      </c>
      <c r="C47" s="232" t="inlineStr">
        <is>
          <t>5:45 AM</t>
        </is>
      </c>
      <c r="D47" s="232" t="inlineStr">
        <is>
          <t>Mon, Tue</t>
        </is>
      </c>
      <c r="E47" s="232" t="inlineStr">
        <is>
          <t>N</t>
        </is>
      </c>
      <c r="F47" s="232" t="inlineStr">
        <is>
          <t>N</t>
        </is>
      </c>
      <c r="G47" s="232" t="inlineStr">
        <is>
          <t>Y</t>
        </is>
      </c>
      <c r="H47" s="232" t="inlineStr">
        <is>
          <t>None</t>
        </is>
      </c>
      <c r="I47" s="232" t="inlineStr">
        <is>
          <t>N</t>
        </is>
      </c>
      <c r="J47" s="232" t="inlineStr">
        <is>
          <t>N</t>
        </is>
      </c>
      <c r="K47" s="232" t="inlineStr">
        <is>
          <t>N</t>
        </is>
      </c>
      <c r="L47" s="232" t="inlineStr">
        <is>
          <t>Y</t>
        </is>
      </c>
      <c r="M47" s="232" t="inlineStr">
        <is>
          <t>Standard</t>
        </is>
      </c>
      <c r="N47" s="232" t="n"/>
      <c r="O47" s="232" t="n"/>
      <c r="P47" s="232" t="inlineStr">
        <is>
          <t>N</t>
        </is>
      </c>
      <c r="Q47" s="232" t="n"/>
      <c r="R47" s="232" t="n"/>
      <c r="S47" s="232" t="n"/>
      <c r="T47" s="233" t="inlineStr">
        <is>
          <t>N</t>
        </is>
      </c>
      <c r="U47" s="227">
        <f>IF($B47="","",IF(AND($G47="Y",ISERROR(SEARCH(TEXT('Control Center'!$B$3,"ddd"),TRIM($D47)))),"Y","N"))</f>
        <v/>
      </c>
      <c r="V47" s="227">
        <f>IF($B47="","",IF(AND($U47="Y",OR($C47="3:45 AM",$C47="5:45 AM"),OR('Control Center'!$B$4="N",$K47&lt;&gt;"Y")),"Y","N"))</f>
        <v/>
      </c>
      <c r="W47" s="227">
        <f>IF($B47="","",IF(AND($U47="Y",OR($C47="12:15 PM",$C47="2:00 PM"),OR('Control Center'!$B$5="N",$K47&lt;&gt;"Y")),"Y","N"))</f>
        <v/>
      </c>
      <c r="X47" s="228" t="n"/>
      <c r="Y47" s="229" t="n"/>
      <c r="Z47" s="228" t="n"/>
      <c r="AA47" s="229" t="n"/>
      <c r="AB47" s="230">
        <f>IF($B47="","",IF($P47="Y",IF($Y47="Y","Completed","In Progress"),""))</f>
        <v/>
      </c>
      <c r="AC47" s="119">
        <f>IF($B47="","",IF(COUNTIFS('Approved Absences'!$A$2:$A$200,$B47,'Approved Absences'!$B$2:$B$200,"&lt;="&amp;INT('Control Center'!$B$3),'Approved Absences'!$C$2:$C$200,"&gt;="&amp;INT('Control Center'!$B$3))&gt;0,"Y","N"))</f>
        <v/>
      </c>
      <c r="AD47" s="119">
        <f>IF($B47="","",IF(AND($G47="Y",$AC47&lt;&gt;"Y",ISERROR(SEARCH(TEXT('Control Center'!$B$3,"ddd"),TRIM($D47)))),"Y","N"))</f>
        <v/>
      </c>
      <c r="AE47" s="119">
        <f>IF(AND(AD47="Y",C47="3:45 AM",E47="N",K47&lt;&gt;"Y"),COUNTIFS($AD$2:AD47,"Y",$C$2:C47,"3:45 AM",$E$2:E47,"N",$K$2:K47,"&lt;&gt;Y"),"")</f>
        <v/>
      </c>
      <c r="AF47" s="119">
        <f>IF(AND(AD47="Y",C47="5:45 AM",E47="N",K47&lt;&gt;"Y"),COUNTIFS($AD$2:AD47,"Y",$C$2:C47,"5:45 AM",$E$2:E47,"N",$K$2:K47,"&lt;&gt;Y"),"")</f>
        <v/>
      </c>
      <c r="AG47" s="119">
        <f>IF(AND(AD47="Y",C47="3:45 AM",E47="N",L47="Y",K47&lt;&gt;"Y"),COUNTIFS($AD$2:AD47,"Y",$C$2:C47,"3:45 AM",$E$2:E47,"N",$L$2:L47,"Y",$K$2:K47,"&lt;&gt;Y"),"")</f>
        <v/>
      </c>
      <c r="AH47" s="119">
        <f>IF(AND(AD47="Y",C47="5:45 AM",E47="N",L47="Y",K47&lt;&gt;"Y"),COUNTIFS($AD$2:AD47,"Y",$C$2:C47,"5:45 AM",$E$2:E47,"N",$L$2:L47,"Y",$K$2:K47,"&lt;&gt;Y"),"")</f>
        <v/>
      </c>
      <c r="AI47" s="119">
        <f>IF(AND(AD47="Y",E47="N",K47="Y",OR(C47="3:45 AM",C47="5:45 AM")),SUMPRODUCT(($AD$2:AD47="Y")*($E$2:E47="N")*($K$2:K47="Y")*(($C$2:C47="3:45 AM")+($C$2:C47="5:45 AM"))), "")</f>
        <v/>
      </c>
      <c r="AJ47" s="119">
        <f>IF(AND(AD47="Y",C47="3:45 AM",E47="N",J47="Y"),COUNTIFS($AD$2:AD47,"Y",$C$2:C47,"3:45 AM",$E$2:E47,"N",$J$2:J47,"Y"),"")</f>
        <v/>
      </c>
      <c r="AK47" s="119">
        <f>IF(AND(AD47="Y",E47="N",I47="Y",OR(C47="3:45 AM",C47="5:45 AM")),SUMPRODUCT(($AD$2:AD47="Y")*($E$2:E47="N")*($I$2:I47="Y")*(($C$2:C47="3:45 AM")+($C$2:C47="5:45 AM"))), "")</f>
        <v/>
      </c>
      <c r="AL47" s="119">
        <f>IF(AND(AD47="Y",C47="12:15 PM",E47="N",K47&lt;&gt;"Y"),COUNTIFS($AD$2:AD47,"Y",$C$2:C47,"12:15 PM",$E$2:E47,"N",$K$2:K47,"&lt;&gt;Y"),"")</f>
        <v/>
      </c>
      <c r="AM47" s="119">
        <f>IF(AND(AD47="Y",C47="2:00 PM",E47="N",K47&lt;&gt;"Y"),COUNTIFS($AD$2:AD47,"Y",$C$2:C47,"2:00 PM",$E$2:E47,"N",$K$2:K47,"&lt;&gt;Y"),"")</f>
        <v/>
      </c>
      <c r="AN47" s="119">
        <f>IF(AND(AD47="Y",E47="N",K47="Y",OR(C47="12:15 PM",C47="2:00 PM")),SUMPRODUCT(($AD$2:AD47="Y")*($E$2:E47="N")*($K$2:K47="Y")*(($C$2:C47="12:15 PM")+($C$2:C47="2:00 PM"))), "")</f>
        <v/>
      </c>
      <c r="AO47" s="119">
        <f>IF(AND(AD47="Y",C47="12:15 PM",E47="N",L47="Y"),COUNTIFS($AD$2:AD47,"Y",$C$2:C47,"12:15 PM",$E$2:E47,"N",$L$2:L47,"Y"),"")</f>
        <v/>
      </c>
      <c r="AP47" s="119">
        <f>IF(AND(AD47="Y",C47="2:00 PM",E47="N",L47="Y"),COUNTIFS($AD$2:AD47,"Y",$C$2:C47,"2:00 PM",$E$2:E47,"N",$L$2:L47,"Y"),"")</f>
        <v/>
      </c>
    </row>
    <row r="48" ht="14.25" customHeight="1" s="120">
      <c r="A48" s="231" t="inlineStr">
        <is>
          <t>EMP-0048</t>
        </is>
      </c>
      <c r="B48" s="232" t="inlineStr">
        <is>
          <t>De'Anna Reese</t>
        </is>
      </c>
      <c r="C48" s="232" t="inlineStr">
        <is>
          <t>12:15 PM</t>
        </is>
      </c>
      <c r="D48" s="232" t="inlineStr">
        <is>
          <t>Wed, Thu</t>
        </is>
      </c>
      <c r="E48" s="232" t="inlineStr">
        <is>
          <t>N</t>
        </is>
      </c>
      <c r="F48" s="232" t="inlineStr">
        <is>
          <t>N</t>
        </is>
      </c>
      <c r="G48" s="232" t="inlineStr">
        <is>
          <t>Y</t>
        </is>
      </c>
      <c r="H48" s="232" t="inlineStr">
        <is>
          <t>None</t>
        </is>
      </c>
      <c r="I48" s="232" t="inlineStr">
        <is>
          <t>Y</t>
        </is>
      </c>
      <c r="J48" s="232" t="inlineStr">
        <is>
          <t>Y</t>
        </is>
      </c>
      <c r="K48" s="232" t="inlineStr">
        <is>
          <t>N</t>
        </is>
      </c>
      <c r="L48" s="232" t="inlineStr">
        <is>
          <t>Y</t>
        </is>
      </c>
      <c r="M48" s="232" t="inlineStr">
        <is>
          <t>Standard</t>
        </is>
      </c>
      <c r="N48" s="232" t="n"/>
      <c r="O48" s="232" t="n"/>
      <c r="P48" s="232" t="inlineStr">
        <is>
          <t>N</t>
        </is>
      </c>
      <c r="Q48" s="232" t="n"/>
      <c r="R48" s="232" t="n"/>
      <c r="S48" s="232" t="n"/>
      <c r="T48" s="233" t="inlineStr">
        <is>
          <t>N</t>
        </is>
      </c>
      <c r="U48" s="227">
        <f>IF($B48="","",IF(AND($G48="Y",ISERROR(SEARCH(TEXT('Control Center'!$B$3,"ddd"),TRIM($D48)))),"Y","N"))</f>
        <v/>
      </c>
      <c r="V48" s="227">
        <f>IF($B48="","",IF(AND($U48="Y",OR($C48="3:45 AM",$C48="5:45 AM"),OR('Control Center'!$B$4="N",$K48&lt;&gt;"Y")),"Y","N"))</f>
        <v/>
      </c>
      <c r="W48" s="227">
        <f>IF($B48="","",IF(AND($U48="Y",OR($C48="12:15 PM",$C48="2:00 PM"),OR('Control Center'!$B$5="N",$K48&lt;&gt;"Y")),"Y","N"))</f>
        <v/>
      </c>
      <c r="X48" s="228" t="n"/>
      <c r="Y48" s="229" t="n"/>
      <c r="Z48" s="228" t="n"/>
      <c r="AA48" s="229" t="n"/>
      <c r="AB48" s="230">
        <f>IF($B48="","",IF($P48="Y",IF($Y48="Y","Completed","In Progress"),""))</f>
        <v/>
      </c>
      <c r="AC48" s="119">
        <f>IF($B48="","",IF(COUNTIFS('Approved Absences'!$A$2:$A$200,$B48,'Approved Absences'!$B$2:$B$200,"&lt;="&amp;INT('Control Center'!$B$3),'Approved Absences'!$C$2:$C$200,"&gt;="&amp;INT('Control Center'!$B$3))&gt;0,"Y","N"))</f>
        <v/>
      </c>
      <c r="AD48" s="119">
        <f>IF($B48="","",IF(AND($G48="Y",$AC48&lt;&gt;"Y",ISERROR(SEARCH(TEXT('Control Center'!$B$3,"ddd"),TRIM($D48)))),"Y","N"))</f>
        <v/>
      </c>
      <c r="AE48" s="119">
        <f>IF(AND(AD48="Y",C48="3:45 AM",E48="N",K48&lt;&gt;"Y"),COUNTIFS($AD$2:AD48,"Y",$C$2:C48,"3:45 AM",$E$2:E48,"N",$K$2:K48,"&lt;&gt;Y"),"")</f>
        <v/>
      </c>
      <c r="AF48" s="119">
        <f>IF(AND(AD48="Y",C48="5:45 AM",E48="N",K48&lt;&gt;"Y"),COUNTIFS($AD$2:AD48,"Y",$C$2:C48,"5:45 AM",$E$2:E48,"N",$K$2:K48,"&lt;&gt;Y"),"")</f>
        <v/>
      </c>
      <c r="AG48" s="119">
        <f>IF(AND(AD48="Y",C48="3:45 AM",E48="N",L48="Y",K48&lt;&gt;"Y"),COUNTIFS($AD$2:AD48,"Y",$C$2:C48,"3:45 AM",$E$2:E48,"N",$L$2:L48,"Y",$K$2:K48,"&lt;&gt;Y"),"")</f>
        <v/>
      </c>
      <c r="AH48" s="119">
        <f>IF(AND(AD48="Y",C48="5:45 AM",E48="N",L48="Y",K48&lt;&gt;"Y"),COUNTIFS($AD$2:AD48,"Y",$C$2:C48,"5:45 AM",$E$2:E48,"N",$L$2:L48,"Y",$K$2:K48,"&lt;&gt;Y"),"")</f>
        <v/>
      </c>
      <c r="AI48" s="119">
        <f>IF(AND(AD48="Y",E48="N",K48="Y",OR(C48="3:45 AM",C48="5:45 AM")),SUMPRODUCT(($AD$2:AD48="Y")*($E$2:E48="N")*($K$2:K48="Y")*(($C$2:C48="3:45 AM")+($C$2:C48="5:45 AM"))), "")</f>
        <v/>
      </c>
      <c r="AJ48" s="119">
        <f>IF(AND(AD48="Y",C48="3:45 AM",E48="N",J48="Y"),COUNTIFS($AD$2:AD48,"Y",$C$2:C48,"3:45 AM",$E$2:E48,"N",$J$2:J48,"Y"),"")</f>
        <v/>
      </c>
      <c r="AK48" s="119">
        <f>IF(AND(AD48="Y",E48="N",I48="Y",OR(C48="3:45 AM",C48="5:45 AM")),SUMPRODUCT(($AD$2:AD48="Y")*($E$2:E48="N")*($I$2:I48="Y")*(($C$2:C48="3:45 AM")+($C$2:C48="5:45 AM"))), "")</f>
        <v/>
      </c>
      <c r="AL48" s="119">
        <f>IF(AND(AD48="Y",C48="12:15 PM",E48="N",K48&lt;&gt;"Y"),COUNTIFS($AD$2:AD48,"Y",$C$2:C48,"12:15 PM",$E$2:E48,"N",$K$2:K48,"&lt;&gt;Y"),"")</f>
        <v/>
      </c>
      <c r="AM48" s="119">
        <f>IF(AND(AD48="Y",C48="2:00 PM",E48="N",K48&lt;&gt;"Y"),COUNTIFS($AD$2:AD48,"Y",$C$2:C48,"2:00 PM",$E$2:E48,"N",$K$2:K48,"&lt;&gt;Y"),"")</f>
        <v/>
      </c>
      <c r="AN48" s="119">
        <f>IF(AND(AD48="Y",E48="N",K48="Y",OR(C48="12:15 PM",C48="2:00 PM")),SUMPRODUCT(($AD$2:AD48="Y")*($E$2:E48="N")*($K$2:K48="Y")*(($C$2:C48="12:15 PM")+($C$2:C48="2:00 PM"))), "")</f>
        <v/>
      </c>
      <c r="AO48" s="119">
        <f>IF(AND(AD48="Y",C48="12:15 PM",E48="N",L48="Y"),COUNTIFS($AD$2:AD48,"Y",$C$2:C48,"12:15 PM",$E$2:E48,"N",$L$2:L48,"Y"),"")</f>
        <v/>
      </c>
      <c r="AP48" s="119">
        <f>IF(AND(AD48="Y",C48="2:00 PM",E48="N",L48="Y"),COUNTIFS($AD$2:AD48,"Y",$C$2:C48,"2:00 PM",$E$2:E48,"N",$L$2:L48,"Y"),"")</f>
        <v/>
      </c>
    </row>
    <row r="49" ht="14.25" customHeight="1" s="120">
      <c r="A49" s="231" t="inlineStr">
        <is>
          <t>EMP-0049</t>
        </is>
      </c>
      <c r="B49" s="232" t="inlineStr">
        <is>
          <t>Demetrius Thomas</t>
        </is>
      </c>
      <c r="C49" s="232" t="inlineStr">
        <is>
          <t>3:45 AM</t>
        </is>
      </c>
      <c r="D49" s="232" t="inlineStr">
        <is>
          <t>Fri, Sat</t>
        </is>
      </c>
      <c r="E49" s="232" t="inlineStr">
        <is>
          <t>N</t>
        </is>
      </c>
      <c r="F49" s="232" t="inlineStr">
        <is>
          <t>N</t>
        </is>
      </c>
      <c r="G49" s="232" t="inlineStr">
        <is>
          <t>Y</t>
        </is>
      </c>
      <c r="H49" s="232" t="inlineStr">
        <is>
          <t>None</t>
        </is>
      </c>
      <c r="I49" s="232" t="inlineStr">
        <is>
          <t>N</t>
        </is>
      </c>
      <c r="J49" s="232" t="inlineStr">
        <is>
          <t>Y</t>
        </is>
      </c>
      <c r="K49" s="232" t="inlineStr">
        <is>
          <t>N</t>
        </is>
      </c>
      <c r="L49" s="232" t="inlineStr">
        <is>
          <t>Y</t>
        </is>
      </c>
      <c r="M49" s="232" t="inlineStr">
        <is>
          <t>Standard</t>
        </is>
      </c>
      <c r="N49" s="232" t="n"/>
      <c r="O49" s="232" t="n"/>
      <c r="P49" s="232" t="inlineStr">
        <is>
          <t>N</t>
        </is>
      </c>
      <c r="Q49" s="232" t="n"/>
      <c r="R49" s="232" t="n"/>
      <c r="S49" s="232" t="n"/>
      <c r="T49" s="233" t="inlineStr">
        <is>
          <t>N</t>
        </is>
      </c>
      <c r="U49" s="227">
        <f>IF($B49="","",IF(AND($G49="Y",ISERROR(SEARCH(TEXT('Control Center'!$B$3,"ddd"),TRIM($D49)))),"Y","N"))</f>
        <v/>
      </c>
      <c r="V49" s="227">
        <f>IF($B49="","",IF(AND($U49="Y",OR($C49="3:45 AM",$C49="5:45 AM"),OR('Control Center'!$B$4="N",$K49&lt;&gt;"Y")),"Y","N"))</f>
        <v/>
      </c>
      <c r="W49" s="227">
        <f>IF($B49="","",IF(AND($U49="Y",OR($C49="12:15 PM",$C49="2:00 PM"),OR('Control Center'!$B$5="N",$K49&lt;&gt;"Y")),"Y","N"))</f>
        <v/>
      </c>
      <c r="X49" s="228" t="n"/>
      <c r="Y49" s="229" t="n"/>
      <c r="Z49" s="228" t="n"/>
      <c r="AA49" s="229" t="n"/>
      <c r="AB49" s="230">
        <f>IF($B49="","",IF($P49="Y",IF($Y49="Y","Completed","In Progress"),""))</f>
        <v/>
      </c>
      <c r="AC49" s="119">
        <f>IF($B49="","",IF(COUNTIFS('Approved Absences'!$A$2:$A$200,$B49,'Approved Absences'!$B$2:$B$200,"&lt;="&amp;INT('Control Center'!$B$3),'Approved Absences'!$C$2:$C$200,"&gt;="&amp;INT('Control Center'!$B$3))&gt;0,"Y","N"))</f>
        <v/>
      </c>
      <c r="AD49" s="119">
        <f>IF($B49="","",IF(AND($G49="Y",$AC49&lt;&gt;"Y",ISERROR(SEARCH(TEXT('Control Center'!$B$3,"ddd"),TRIM($D49)))),"Y","N"))</f>
        <v/>
      </c>
      <c r="AE49" s="119">
        <f>IF(AND(AD49="Y",C49="3:45 AM",E49="N",K49&lt;&gt;"Y"),COUNTIFS($AD$2:AD49,"Y",$C$2:C49,"3:45 AM",$E$2:E49,"N",$K$2:K49,"&lt;&gt;Y"),"")</f>
        <v/>
      </c>
      <c r="AF49" s="119">
        <f>IF(AND(AD49="Y",C49="5:45 AM",E49="N",K49&lt;&gt;"Y"),COUNTIFS($AD$2:AD49,"Y",$C$2:C49,"5:45 AM",$E$2:E49,"N",$K$2:K49,"&lt;&gt;Y"),"")</f>
        <v/>
      </c>
      <c r="AG49" s="119">
        <f>IF(AND(AD49="Y",C49="3:45 AM",E49="N",L49="Y",K49&lt;&gt;"Y"),COUNTIFS($AD$2:AD49,"Y",$C$2:C49,"3:45 AM",$E$2:E49,"N",$L$2:L49,"Y",$K$2:K49,"&lt;&gt;Y"),"")</f>
        <v/>
      </c>
      <c r="AH49" s="119">
        <f>IF(AND(AD49="Y",C49="5:45 AM",E49="N",L49="Y",K49&lt;&gt;"Y"),COUNTIFS($AD$2:AD49,"Y",$C$2:C49,"5:45 AM",$E$2:E49,"N",$L$2:L49,"Y",$K$2:K49,"&lt;&gt;Y"),"")</f>
        <v/>
      </c>
      <c r="AI49" s="119">
        <f>IF(AND(AD49="Y",E49="N",K49="Y",OR(C49="3:45 AM",C49="5:45 AM")),SUMPRODUCT(($AD$2:AD49="Y")*($E$2:E49="N")*($K$2:K49="Y")*(($C$2:C49="3:45 AM")+($C$2:C49="5:45 AM"))), "")</f>
        <v/>
      </c>
      <c r="AJ49" s="119">
        <f>IF(AND(AD49="Y",C49="3:45 AM",E49="N",J49="Y"),COUNTIFS($AD$2:AD49,"Y",$C$2:C49,"3:45 AM",$E$2:E49,"N",$J$2:J49,"Y"),"")</f>
        <v/>
      </c>
      <c r="AK49" s="119">
        <f>IF(AND(AD49="Y",E49="N",I49="Y",OR(C49="3:45 AM",C49="5:45 AM")),SUMPRODUCT(($AD$2:AD49="Y")*($E$2:E49="N")*($I$2:I49="Y")*(($C$2:C49="3:45 AM")+($C$2:C49="5:45 AM"))), "")</f>
        <v/>
      </c>
      <c r="AL49" s="119">
        <f>IF(AND(AD49="Y",C49="12:15 PM",E49="N",K49&lt;&gt;"Y"),COUNTIFS($AD$2:AD49,"Y",$C$2:C49,"12:15 PM",$E$2:E49,"N",$K$2:K49,"&lt;&gt;Y"),"")</f>
        <v/>
      </c>
      <c r="AM49" s="119">
        <f>IF(AND(AD49="Y",C49="2:00 PM",E49="N",K49&lt;&gt;"Y"),COUNTIFS($AD$2:AD49,"Y",$C$2:C49,"2:00 PM",$E$2:E49,"N",$K$2:K49,"&lt;&gt;Y"),"")</f>
        <v/>
      </c>
      <c r="AN49" s="119">
        <f>IF(AND(AD49="Y",E49="N",K49="Y",OR(C49="12:15 PM",C49="2:00 PM")),SUMPRODUCT(($AD$2:AD49="Y")*($E$2:E49="N")*($K$2:K49="Y")*(($C$2:C49="12:15 PM")+($C$2:C49="2:00 PM"))), "")</f>
        <v/>
      </c>
      <c r="AO49" s="119">
        <f>IF(AND(AD49="Y",C49="12:15 PM",E49="N",L49="Y"),COUNTIFS($AD$2:AD49,"Y",$C$2:C49,"12:15 PM",$E$2:E49,"N",$L$2:L49,"Y"),"")</f>
        <v/>
      </c>
      <c r="AP49" s="119">
        <f>IF(AND(AD49="Y",C49="2:00 PM",E49="N",L49="Y"),COUNTIFS($AD$2:AD49,"Y",$C$2:C49,"2:00 PM",$E$2:E49,"N",$L$2:L49,"Y"),"")</f>
        <v/>
      </c>
    </row>
    <row r="50" ht="14.25" customHeight="1" s="120">
      <c r="A50" s="231" t="inlineStr">
        <is>
          <t>EMP-0051</t>
        </is>
      </c>
      <c r="B50" s="232" t="inlineStr">
        <is>
          <t>Dequavius Parker</t>
        </is>
      </c>
      <c r="C50" s="232" t="inlineStr">
        <is>
          <t>5:45 AM</t>
        </is>
      </c>
      <c r="D50" s="232" t="inlineStr">
        <is>
          <t>Fri, Sat</t>
        </is>
      </c>
      <c r="E50" s="232" t="inlineStr">
        <is>
          <t>N</t>
        </is>
      </c>
      <c r="F50" s="232" t="inlineStr">
        <is>
          <t>N</t>
        </is>
      </c>
      <c r="G50" s="232" t="inlineStr">
        <is>
          <t>Y</t>
        </is>
      </c>
      <c r="H50" s="232" t="inlineStr">
        <is>
          <t>None</t>
        </is>
      </c>
      <c r="I50" s="232" t="inlineStr">
        <is>
          <t>N</t>
        </is>
      </c>
      <c r="J50" s="232" t="inlineStr">
        <is>
          <t>N</t>
        </is>
      </c>
      <c r="K50" s="232" t="inlineStr">
        <is>
          <t>N</t>
        </is>
      </c>
      <c r="L50" s="232" t="inlineStr">
        <is>
          <t>Y</t>
        </is>
      </c>
      <c r="M50" s="232" t="inlineStr">
        <is>
          <t>Standard</t>
        </is>
      </c>
      <c r="N50" s="232" t="n"/>
      <c r="O50" s="232" t="n"/>
      <c r="P50" s="232" t="inlineStr">
        <is>
          <t>N</t>
        </is>
      </c>
      <c r="Q50" s="232" t="n"/>
      <c r="R50" s="232" t="n"/>
      <c r="S50" s="232" t="n"/>
      <c r="T50" s="233" t="inlineStr">
        <is>
          <t>N</t>
        </is>
      </c>
      <c r="U50" s="227">
        <f>IF($B50="","",IF(AND($G50="Y",ISERROR(SEARCH(TEXT('Control Center'!$B$3,"ddd"),TRIM($D50)))),"Y","N"))</f>
        <v/>
      </c>
      <c r="V50" s="227">
        <f>IF($B50="","",IF(AND($U50="Y",OR($C50="3:45 AM",$C50="5:45 AM"),OR('Control Center'!$B$4="N",$K50&lt;&gt;"Y")),"Y","N"))</f>
        <v/>
      </c>
      <c r="W50" s="227">
        <f>IF($B50="","",IF(AND($U50="Y",OR($C50="12:15 PM",$C50="2:00 PM"),OR('Control Center'!$B$5="N",$K50&lt;&gt;"Y")),"Y","N"))</f>
        <v/>
      </c>
      <c r="X50" s="228" t="n"/>
      <c r="Y50" s="229" t="n"/>
      <c r="Z50" s="228" t="n"/>
      <c r="AA50" s="229" t="n"/>
      <c r="AB50" s="230">
        <f>IF($B50="","",IF($P50="Y",IF($Y50="Y","Completed","In Progress"),""))</f>
        <v/>
      </c>
      <c r="AC50" s="119">
        <f>IF($B50="","",IF(COUNTIFS('Approved Absences'!$A$2:$A$200,$B50,'Approved Absences'!$B$2:$B$200,"&lt;="&amp;INT('Control Center'!$B$3),'Approved Absences'!$C$2:$C$200,"&gt;="&amp;INT('Control Center'!$B$3))&gt;0,"Y","N"))</f>
        <v/>
      </c>
      <c r="AD50" s="119">
        <f>IF($B50="","",IF(AND($G50="Y",$AC50&lt;&gt;"Y",ISERROR(SEARCH(TEXT('Control Center'!$B$3,"ddd"),TRIM($D50)))),"Y","N"))</f>
        <v/>
      </c>
      <c r="AE50" s="119">
        <f>IF(AND(AD50="Y",C50="3:45 AM",E50="N",K50&lt;&gt;"Y"),COUNTIFS($AD$2:AD50,"Y",$C$2:C50,"3:45 AM",$E$2:E50,"N",$K$2:K50,"&lt;&gt;Y"),"")</f>
        <v/>
      </c>
      <c r="AF50" s="119">
        <f>IF(AND(AD50="Y",C50="5:45 AM",E50="N",K50&lt;&gt;"Y"),COUNTIFS($AD$2:AD50,"Y",$C$2:C50,"5:45 AM",$E$2:E50,"N",$K$2:K50,"&lt;&gt;Y"),"")</f>
        <v/>
      </c>
      <c r="AG50" s="119">
        <f>IF(AND(AD50="Y",C50="3:45 AM",E50="N",L50="Y",K50&lt;&gt;"Y"),COUNTIFS($AD$2:AD50,"Y",$C$2:C50,"3:45 AM",$E$2:E50,"N",$L$2:L50,"Y",$K$2:K50,"&lt;&gt;Y"),"")</f>
        <v/>
      </c>
      <c r="AH50" s="119">
        <f>IF(AND(AD50="Y",C50="5:45 AM",E50="N",L50="Y",K50&lt;&gt;"Y"),COUNTIFS($AD$2:AD50,"Y",$C$2:C50,"5:45 AM",$E$2:E50,"N",$L$2:L50,"Y",$K$2:K50,"&lt;&gt;Y"),"")</f>
        <v/>
      </c>
      <c r="AI50" s="119">
        <f>IF(AND(AD50="Y",E50="N",K50="Y",OR(C50="3:45 AM",C50="5:45 AM")),SUMPRODUCT(($AD$2:AD50="Y")*($E$2:E50="N")*($K$2:K50="Y")*(($C$2:C50="3:45 AM")+($C$2:C50="5:45 AM"))), "")</f>
        <v/>
      </c>
      <c r="AJ50" s="119">
        <f>IF(AND(AD50="Y",C50="3:45 AM",E50="N",J50="Y"),COUNTIFS($AD$2:AD50,"Y",$C$2:C50,"3:45 AM",$E$2:E50,"N",$J$2:J50,"Y"),"")</f>
        <v/>
      </c>
      <c r="AK50" s="119">
        <f>IF(AND(AD50="Y",E50="N",I50="Y",OR(C50="3:45 AM",C50="5:45 AM")),SUMPRODUCT(($AD$2:AD50="Y")*($E$2:E50="N")*($I$2:I50="Y")*(($C$2:C50="3:45 AM")+($C$2:C50="5:45 AM"))), "")</f>
        <v/>
      </c>
      <c r="AL50" s="119">
        <f>IF(AND(AD50="Y",C50="12:15 PM",E50="N",K50&lt;&gt;"Y"),COUNTIFS($AD$2:AD50,"Y",$C$2:C50,"12:15 PM",$E$2:E50,"N",$K$2:K50,"&lt;&gt;Y"),"")</f>
        <v/>
      </c>
      <c r="AM50" s="119">
        <f>IF(AND(AD50="Y",C50="2:00 PM",E50="N",K50&lt;&gt;"Y"),COUNTIFS($AD$2:AD50,"Y",$C$2:C50,"2:00 PM",$E$2:E50,"N",$K$2:K50,"&lt;&gt;Y"),"")</f>
        <v/>
      </c>
      <c r="AN50" s="119">
        <f>IF(AND(AD50="Y",E50="N",K50="Y",OR(C50="12:15 PM",C50="2:00 PM")),SUMPRODUCT(($AD$2:AD50="Y")*($E$2:E50="N")*($K$2:K50="Y")*(($C$2:C50="12:15 PM")+($C$2:C50="2:00 PM"))), "")</f>
        <v/>
      </c>
      <c r="AO50" s="119">
        <f>IF(AND(AD50="Y",C50="12:15 PM",E50="N",L50="Y"),COUNTIFS($AD$2:AD50,"Y",$C$2:C50,"12:15 PM",$E$2:E50,"N",$L$2:L50,"Y"),"")</f>
        <v/>
      </c>
      <c r="AP50" s="119">
        <f>IF(AND(AD50="Y",C50="2:00 PM",E50="N",L50="Y"),COUNTIFS($AD$2:AD50,"Y",$C$2:C50,"2:00 PM",$E$2:E50,"N",$L$2:L50,"Y"),"")</f>
        <v/>
      </c>
    </row>
    <row r="51" ht="14.25" customHeight="1" s="120">
      <c r="A51" s="231" t="inlineStr">
        <is>
          <t>EMP-0052</t>
        </is>
      </c>
      <c r="B51" s="232" t="inlineStr">
        <is>
          <t>Derika Phipps</t>
        </is>
      </c>
      <c r="C51" s="232" t="inlineStr">
        <is>
          <t>5:45 AM</t>
        </is>
      </c>
      <c r="D51" s="232" t="inlineStr">
        <is>
          <t>Mon, Tue</t>
        </is>
      </c>
      <c r="E51" s="232" t="inlineStr">
        <is>
          <t>N</t>
        </is>
      </c>
      <c r="F51" s="232" t="inlineStr">
        <is>
          <t>N</t>
        </is>
      </c>
      <c r="G51" s="232" t="inlineStr">
        <is>
          <t>Y</t>
        </is>
      </c>
      <c r="H51" s="232" t="inlineStr">
        <is>
          <t>None</t>
        </is>
      </c>
      <c r="I51" s="232" t="inlineStr">
        <is>
          <t>N</t>
        </is>
      </c>
      <c r="J51" s="232" t="inlineStr">
        <is>
          <t>N</t>
        </is>
      </c>
      <c r="K51" s="232" t="inlineStr">
        <is>
          <t>N</t>
        </is>
      </c>
      <c r="L51" s="232" t="inlineStr">
        <is>
          <t>Y</t>
        </is>
      </c>
      <c r="M51" s="232" t="inlineStr">
        <is>
          <t>Standard</t>
        </is>
      </c>
      <c r="N51" s="232" t="n"/>
      <c r="O51" s="232" t="n"/>
      <c r="P51" s="232" t="inlineStr">
        <is>
          <t>N</t>
        </is>
      </c>
      <c r="Q51" s="232" t="n"/>
      <c r="R51" s="232" t="n"/>
      <c r="S51" s="232" t="n"/>
      <c r="T51" s="233" t="inlineStr">
        <is>
          <t>N</t>
        </is>
      </c>
      <c r="U51" s="227">
        <f>IF($B51="","",IF(AND($G51="Y",ISERROR(SEARCH(TEXT('Control Center'!$B$3,"ddd"),TRIM($D51)))),"Y","N"))</f>
        <v/>
      </c>
      <c r="V51" s="227">
        <f>IF($B51="","",IF(AND($U51="Y",OR($C51="3:45 AM",$C51="5:45 AM"),OR('Control Center'!$B$4="N",$K51&lt;&gt;"Y")),"Y","N"))</f>
        <v/>
      </c>
      <c r="W51" s="227">
        <f>IF($B51="","",IF(AND($U51="Y",OR($C51="12:15 PM",$C51="2:00 PM"),OR('Control Center'!$B$5="N",$K51&lt;&gt;"Y")),"Y","N"))</f>
        <v/>
      </c>
      <c r="X51" s="228" t="n"/>
      <c r="Y51" s="229" t="n"/>
      <c r="Z51" s="228" t="n"/>
      <c r="AA51" s="229" t="n"/>
      <c r="AB51" s="230">
        <f>IF($B51="","",IF($P51="Y",IF($Y51="Y","Completed","In Progress"),""))</f>
        <v/>
      </c>
      <c r="AC51" s="119">
        <f>IF($B51="","",IF(COUNTIFS('Approved Absences'!$A$2:$A$200,$B51,'Approved Absences'!$B$2:$B$200,"&lt;="&amp;INT('Control Center'!$B$3),'Approved Absences'!$C$2:$C$200,"&gt;="&amp;INT('Control Center'!$B$3))&gt;0,"Y","N"))</f>
        <v/>
      </c>
      <c r="AD51" s="119">
        <f>IF($B51="","",IF(AND($G51="Y",$AC51&lt;&gt;"Y",ISERROR(SEARCH(TEXT('Control Center'!$B$3,"ddd"),TRIM($D51)))),"Y","N"))</f>
        <v/>
      </c>
      <c r="AE51" s="119">
        <f>IF(AND(AD51="Y",C51="3:45 AM",E51="N",K51&lt;&gt;"Y"),COUNTIFS($AD$2:AD51,"Y",$C$2:C51,"3:45 AM",$E$2:E51,"N",$K$2:K51,"&lt;&gt;Y"),"")</f>
        <v/>
      </c>
      <c r="AF51" s="119">
        <f>IF(AND(AD51="Y",C51="5:45 AM",E51="N",K51&lt;&gt;"Y"),COUNTIFS($AD$2:AD51,"Y",$C$2:C51,"5:45 AM",$E$2:E51,"N",$K$2:K51,"&lt;&gt;Y"),"")</f>
        <v/>
      </c>
      <c r="AG51" s="119">
        <f>IF(AND(AD51="Y",C51="3:45 AM",E51="N",L51="Y",K51&lt;&gt;"Y"),COUNTIFS($AD$2:AD51,"Y",$C$2:C51,"3:45 AM",$E$2:E51,"N",$L$2:L51,"Y",$K$2:K51,"&lt;&gt;Y"),"")</f>
        <v/>
      </c>
      <c r="AH51" s="119">
        <f>IF(AND(AD51="Y",C51="5:45 AM",E51="N",L51="Y",K51&lt;&gt;"Y"),COUNTIFS($AD$2:AD51,"Y",$C$2:C51,"5:45 AM",$E$2:E51,"N",$L$2:L51,"Y",$K$2:K51,"&lt;&gt;Y"),"")</f>
        <v/>
      </c>
      <c r="AI51" s="119">
        <f>IF(AND(AD51="Y",E51="N",K51="Y",OR(C51="3:45 AM",C51="5:45 AM")),SUMPRODUCT(($AD$2:AD51="Y")*($E$2:E51="N")*($K$2:K51="Y")*(($C$2:C51="3:45 AM")+($C$2:C51="5:45 AM"))), "")</f>
        <v/>
      </c>
      <c r="AJ51" s="119">
        <f>IF(AND(AD51="Y",C51="3:45 AM",E51="N",J51="Y"),COUNTIFS($AD$2:AD51,"Y",$C$2:C51,"3:45 AM",$E$2:E51,"N",$J$2:J51,"Y"),"")</f>
        <v/>
      </c>
      <c r="AK51" s="119">
        <f>IF(AND(AD51="Y",E51="N",I51="Y",OR(C51="3:45 AM",C51="5:45 AM")),SUMPRODUCT(($AD$2:AD51="Y")*($E$2:E51="N")*($I$2:I51="Y")*(($C$2:C51="3:45 AM")+($C$2:C51="5:45 AM"))), "")</f>
        <v/>
      </c>
      <c r="AL51" s="119">
        <f>IF(AND(AD51="Y",C51="12:15 PM",E51="N",K51&lt;&gt;"Y"),COUNTIFS($AD$2:AD51,"Y",$C$2:C51,"12:15 PM",$E$2:E51,"N",$K$2:K51,"&lt;&gt;Y"),"")</f>
        <v/>
      </c>
      <c r="AM51" s="119">
        <f>IF(AND(AD51="Y",C51="2:00 PM",E51="N",K51&lt;&gt;"Y"),COUNTIFS($AD$2:AD51,"Y",$C$2:C51,"2:00 PM",$E$2:E51,"N",$K$2:K51,"&lt;&gt;Y"),"")</f>
        <v/>
      </c>
      <c r="AN51" s="119">
        <f>IF(AND(AD51="Y",E51="N",K51="Y",OR(C51="12:15 PM",C51="2:00 PM")),SUMPRODUCT(($AD$2:AD51="Y")*($E$2:E51="N")*($K$2:K51="Y")*(($C$2:C51="12:15 PM")+($C$2:C51="2:00 PM"))), "")</f>
        <v/>
      </c>
      <c r="AO51" s="119">
        <f>IF(AND(AD51="Y",C51="12:15 PM",E51="N",L51="Y"),COUNTIFS($AD$2:AD51,"Y",$C$2:C51,"12:15 PM",$E$2:E51,"N",$L$2:L51,"Y"),"")</f>
        <v/>
      </c>
      <c r="AP51" s="119">
        <f>IF(AND(AD51="Y",C51="2:00 PM",E51="N",L51="Y"),COUNTIFS($AD$2:AD51,"Y",$C$2:C51,"2:00 PM",$E$2:E51,"N",$L$2:L51,"Y"),"")</f>
        <v/>
      </c>
    </row>
    <row r="52" ht="14.25" customHeight="1" s="120">
      <c r="A52" s="231" t="inlineStr">
        <is>
          <t>EMP-0053</t>
        </is>
      </c>
      <c r="B52" s="232" t="inlineStr">
        <is>
          <t>Dezeraye Fedrick</t>
        </is>
      </c>
      <c r="C52" s="232" t="inlineStr">
        <is>
          <t>2:00 PM</t>
        </is>
      </c>
      <c r="D52" s="232" t="inlineStr">
        <is>
          <t>Mon, Tue</t>
        </is>
      </c>
      <c r="E52" s="232" t="inlineStr">
        <is>
          <t>N</t>
        </is>
      </c>
      <c r="F52" s="232" t="inlineStr">
        <is>
          <t>N</t>
        </is>
      </c>
      <c r="G52" s="232" t="inlineStr">
        <is>
          <t>Y</t>
        </is>
      </c>
      <c r="H52" s="232" t="inlineStr">
        <is>
          <t>None</t>
        </is>
      </c>
      <c r="I52" s="232" t="inlineStr">
        <is>
          <t>Y</t>
        </is>
      </c>
      <c r="J52" s="232" t="inlineStr">
        <is>
          <t>Y</t>
        </is>
      </c>
      <c r="K52" s="232" t="inlineStr">
        <is>
          <t>N</t>
        </is>
      </c>
      <c r="L52" s="232" t="inlineStr">
        <is>
          <t>Y</t>
        </is>
      </c>
      <c r="M52" s="232" t="inlineStr">
        <is>
          <t>Standard</t>
        </is>
      </c>
      <c r="N52" s="232" t="n"/>
      <c r="O52" s="232" t="n"/>
      <c r="P52" s="232" t="inlineStr">
        <is>
          <t>N</t>
        </is>
      </c>
      <c r="Q52" s="232" t="n"/>
      <c r="R52" s="232" t="n"/>
      <c r="S52" s="232" t="n"/>
      <c r="T52" s="233" t="inlineStr">
        <is>
          <t>N</t>
        </is>
      </c>
      <c r="U52" s="227">
        <f>IF($B52="","",IF(AND($G52="Y",ISERROR(SEARCH(TEXT('Control Center'!$B$3,"ddd"),TRIM($D52)))),"Y","N"))</f>
        <v/>
      </c>
      <c r="V52" s="227">
        <f>IF($B52="","",IF(AND($U52="Y",OR($C52="3:45 AM",$C52="5:45 AM"),OR('Control Center'!$B$4="N",$K52&lt;&gt;"Y")),"Y","N"))</f>
        <v/>
      </c>
      <c r="W52" s="227">
        <f>IF($B52="","",IF(AND($U52="Y",OR($C52="12:15 PM",$C52="2:00 PM"),OR('Control Center'!$B$5="N",$K52&lt;&gt;"Y")),"Y","N"))</f>
        <v/>
      </c>
      <c r="X52" s="228" t="n"/>
      <c r="Y52" s="229" t="n"/>
      <c r="Z52" s="228" t="n"/>
      <c r="AA52" s="229" t="n"/>
      <c r="AB52" s="230">
        <f>IF($B52="","",IF($P52="Y",IF($Y52="Y","Completed","In Progress"),""))</f>
        <v/>
      </c>
      <c r="AC52" s="119">
        <f>IF($B52="","",IF(COUNTIFS('Approved Absences'!$A$2:$A$200,$B52,'Approved Absences'!$B$2:$B$200,"&lt;="&amp;INT('Control Center'!$B$3),'Approved Absences'!$C$2:$C$200,"&gt;="&amp;INT('Control Center'!$B$3))&gt;0,"Y","N"))</f>
        <v/>
      </c>
      <c r="AD52" s="119">
        <f>IF($B52="","",IF(AND($G52="Y",$AC52&lt;&gt;"Y",ISERROR(SEARCH(TEXT('Control Center'!$B$3,"ddd"),TRIM($D52)))),"Y","N"))</f>
        <v/>
      </c>
      <c r="AE52" s="119">
        <f>IF(AND(AD52="Y",C52="3:45 AM",E52="N",K52&lt;&gt;"Y"),COUNTIFS($AD$2:AD52,"Y",$C$2:C52,"3:45 AM",$E$2:E52,"N",$K$2:K52,"&lt;&gt;Y"),"")</f>
        <v/>
      </c>
      <c r="AF52" s="119">
        <f>IF(AND(AD52="Y",C52="5:45 AM",E52="N",K52&lt;&gt;"Y"),COUNTIFS($AD$2:AD52,"Y",$C$2:C52,"5:45 AM",$E$2:E52,"N",$K$2:K52,"&lt;&gt;Y"),"")</f>
        <v/>
      </c>
      <c r="AG52" s="119">
        <f>IF(AND(AD52="Y",C52="3:45 AM",E52="N",L52="Y",K52&lt;&gt;"Y"),COUNTIFS($AD$2:AD52,"Y",$C$2:C52,"3:45 AM",$E$2:E52,"N",$L$2:L52,"Y",$K$2:K52,"&lt;&gt;Y"),"")</f>
        <v/>
      </c>
      <c r="AH52" s="119">
        <f>IF(AND(AD52="Y",C52="5:45 AM",E52="N",L52="Y",K52&lt;&gt;"Y"),COUNTIFS($AD$2:AD52,"Y",$C$2:C52,"5:45 AM",$E$2:E52,"N",$L$2:L52,"Y",$K$2:K52,"&lt;&gt;Y"),"")</f>
        <v/>
      </c>
      <c r="AI52" s="119">
        <f>IF(AND(AD52="Y",E52="N",K52="Y",OR(C52="3:45 AM",C52="5:45 AM")),SUMPRODUCT(($AD$2:AD52="Y")*($E$2:E52="N")*($K$2:K52="Y")*(($C$2:C52="3:45 AM")+($C$2:C52="5:45 AM"))), "")</f>
        <v/>
      </c>
      <c r="AJ52" s="119">
        <f>IF(AND(AD52="Y",C52="3:45 AM",E52="N",J52="Y"),COUNTIFS($AD$2:AD52,"Y",$C$2:C52,"3:45 AM",$E$2:E52,"N",$J$2:J52,"Y"),"")</f>
        <v/>
      </c>
      <c r="AK52" s="119">
        <f>IF(AND(AD52="Y",E52="N",I52="Y",OR(C52="3:45 AM",C52="5:45 AM")),SUMPRODUCT(($AD$2:AD52="Y")*($E$2:E52="N")*($I$2:I52="Y")*(($C$2:C52="3:45 AM")+($C$2:C52="5:45 AM"))), "")</f>
        <v/>
      </c>
      <c r="AL52" s="119">
        <f>IF(AND(AD52="Y",C52="12:15 PM",E52="N",K52&lt;&gt;"Y"),COUNTIFS($AD$2:AD52,"Y",$C$2:C52,"12:15 PM",$E$2:E52,"N",$K$2:K52,"&lt;&gt;Y"),"")</f>
        <v/>
      </c>
      <c r="AM52" s="119">
        <f>IF(AND(AD52="Y",C52="2:00 PM",E52="N",K52&lt;&gt;"Y"),COUNTIFS($AD$2:AD52,"Y",$C$2:C52,"2:00 PM",$E$2:E52,"N",$K$2:K52,"&lt;&gt;Y"),"")</f>
        <v/>
      </c>
      <c r="AN52" s="119">
        <f>IF(AND(AD52="Y",E52="N",K52="Y",OR(C52="12:15 PM",C52="2:00 PM")),SUMPRODUCT(($AD$2:AD52="Y")*($E$2:E52="N")*($K$2:K52="Y")*(($C$2:C52="12:15 PM")+($C$2:C52="2:00 PM"))), "")</f>
        <v/>
      </c>
      <c r="AO52" s="119">
        <f>IF(AND(AD52="Y",C52="12:15 PM",E52="N",L52="Y"),COUNTIFS($AD$2:AD52,"Y",$C$2:C52,"12:15 PM",$E$2:E52,"N",$L$2:L52,"Y"),"")</f>
        <v/>
      </c>
      <c r="AP52" s="119">
        <f>IF(AND(AD52="Y",C52="2:00 PM",E52="N",L52="Y"),COUNTIFS($AD$2:AD52,"Y",$C$2:C52,"2:00 PM",$E$2:E52,"N",$L$2:L52,"Y"),"")</f>
        <v/>
      </c>
    </row>
    <row r="53" ht="14.25" customHeight="1" s="120">
      <c r="A53" s="231" t="inlineStr">
        <is>
          <t>EMP-0055</t>
        </is>
      </c>
      <c r="B53" s="232" t="inlineStr">
        <is>
          <t>Duntavia Sensley</t>
        </is>
      </c>
      <c r="C53" s="232" t="inlineStr">
        <is>
          <t>9:15 PM</t>
        </is>
      </c>
      <c r="D53" s="232" t="inlineStr">
        <is>
          <t>Sun, Mon</t>
        </is>
      </c>
      <c r="E53" s="232" t="inlineStr">
        <is>
          <t>N</t>
        </is>
      </c>
      <c r="F53" s="232" t="inlineStr">
        <is>
          <t>N</t>
        </is>
      </c>
      <c r="G53" s="232" t="inlineStr">
        <is>
          <t>Y</t>
        </is>
      </c>
      <c r="H53" s="232" t="inlineStr">
        <is>
          <t>None</t>
        </is>
      </c>
      <c r="I53" s="232" t="inlineStr">
        <is>
          <t>N</t>
        </is>
      </c>
      <c r="J53" s="232" t="inlineStr">
        <is>
          <t>N</t>
        </is>
      </c>
      <c r="K53" s="232" t="inlineStr">
        <is>
          <t>N</t>
        </is>
      </c>
      <c r="L53" s="232" t="inlineStr">
        <is>
          <t>Y</t>
        </is>
      </c>
      <c r="M53" s="232" t="inlineStr">
        <is>
          <t>Standard</t>
        </is>
      </c>
      <c r="N53" s="232" t="n"/>
      <c r="O53" s="232" t="n"/>
      <c r="P53" s="232" t="inlineStr">
        <is>
          <t>N</t>
        </is>
      </c>
      <c r="Q53" s="232" t="n"/>
      <c r="R53" s="232" t="n"/>
      <c r="S53" s="232" t="n"/>
      <c r="T53" s="233" t="inlineStr">
        <is>
          <t>N</t>
        </is>
      </c>
      <c r="U53" s="227">
        <f>IF($B53="","",IF(AND($G53="Y",ISERROR(SEARCH(TEXT('Control Center'!$B$3,"ddd"),TRIM($D53)))),"Y","N"))</f>
        <v/>
      </c>
      <c r="V53" s="227">
        <f>IF($B53="","",IF(AND($U53="Y",OR($C53="3:45 AM",$C53="5:45 AM"),OR('Control Center'!$B$4="N",$K53&lt;&gt;"Y")),"Y","N"))</f>
        <v/>
      </c>
      <c r="W53" s="227">
        <f>IF($B53="","",IF(AND($U53="Y",OR($C53="12:15 PM",$C53="2:00 PM"),OR('Control Center'!$B$5="N",$K53&lt;&gt;"Y")),"Y","N"))</f>
        <v/>
      </c>
      <c r="X53" s="228" t="n"/>
      <c r="Y53" s="229" t="n"/>
      <c r="Z53" s="228" t="n"/>
      <c r="AA53" s="229" t="n"/>
      <c r="AB53" s="230">
        <f>IF($B53="","",IF($P53="Y",IF($Y53="Y","Completed","In Progress"),""))</f>
        <v/>
      </c>
      <c r="AC53" s="119">
        <f>IF($B53="","",IF(COUNTIFS('Approved Absences'!$A$2:$A$200,$B53,'Approved Absences'!$B$2:$B$200,"&lt;="&amp;INT('Control Center'!$B$3),'Approved Absences'!$C$2:$C$200,"&gt;="&amp;INT('Control Center'!$B$3))&gt;0,"Y","N"))</f>
        <v/>
      </c>
      <c r="AD53" s="119">
        <f>IF($B53="","",IF(AND($G53="Y",$AC53&lt;&gt;"Y",ISERROR(SEARCH(TEXT('Control Center'!$B$3,"ddd"),TRIM($D53)))),"Y","N"))</f>
        <v/>
      </c>
      <c r="AE53" s="119">
        <f>IF(AND(AD53="Y",C53="3:45 AM",E53="N",K53&lt;&gt;"Y"),COUNTIFS($AD$2:AD53,"Y",$C$2:C53,"3:45 AM",$E$2:E53,"N",$K$2:K53,"&lt;&gt;Y"),"")</f>
        <v/>
      </c>
      <c r="AF53" s="119">
        <f>IF(AND(AD53="Y",C53="5:45 AM",E53="N",K53&lt;&gt;"Y"),COUNTIFS($AD$2:AD53,"Y",$C$2:C53,"5:45 AM",$E$2:E53,"N",$K$2:K53,"&lt;&gt;Y"),"")</f>
        <v/>
      </c>
      <c r="AG53" s="119">
        <f>IF(AND(AD53="Y",C53="3:45 AM",E53="N",L53="Y",K53&lt;&gt;"Y"),COUNTIFS($AD$2:AD53,"Y",$C$2:C53,"3:45 AM",$E$2:E53,"N",$L$2:L53,"Y",$K$2:K53,"&lt;&gt;Y"),"")</f>
        <v/>
      </c>
      <c r="AH53" s="119">
        <f>IF(AND(AD53="Y",C53="5:45 AM",E53="N",L53="Y",K53&lt;&gt;"Y"),COUNTIFS($AD$2:AD53,"Y",$C$2:C53,"5:45 AM",$E$2:E53,"N",$L$2:L53,"Y",$K$2:K53,"&lt;&gt;Y"),"")</f>
        <v/>
      </c>
      <c r="AI53" s="119">
        <f>IF(AND(AD53="Y",E53="N",K53="Y",OR(C53="3:45 AM",C53="5:45 AM")),SUMPRODUCT(($AD$2:AD53="Y")*($E$2:E53="N")*($K$2:K53="Y")*(($C$2:C53="3:45 AM")+($C$2:C53="5:45 AM"))), "")</f>
        <v/>
      </c>
      <c r="AJ53" s="119">
        <f>IF(AND(AD53="Y",C53="3:45 AM",E53="N",J53="Y"),COUNTIFS($AD$2:AD53,"Y",$C$2:C53,"3:45 AM",$E$2:E53,"N",$J$2:J53,"Y"),"")</f>
        <v/>
      </c>
      <c r="AK53" s="119">
        <f>IF(AND(AD53="Y",E53="N",I53="Y",OR(C53="3:45 AM",C53="5:45 AM")),SUMPRODUCT(($AD$2:AD53="Y")*($E$2:E53="N")*($I$2:I53="Y")*(($C$2:C53="3:45 AM")+($C$2:C53="5:45 AM"))), "")</f>
        <v/>
      </c>
      <c r="AL53" s="119">
        <f>IF(AND(AD53="Y",C53="12:15 PM",E53="N",K53&lt;&gt;"Y"),COUNTIFS($AD$2:AD53,"Y",$C$2:C53,"12:15 PM",$E$2:E53,"N",$K$2:K53,"&lt;&gt;Y"),"")</f>
        <v/>
      </c>
      <c r="AM53" s="119">
        <f>IF(AND(AD53="Y",C53="2:00 PM",E53="N",K53&lt;&gt;"Y"),COUNTIFS($AD$2:AD53,"Y",$C$2:C53,"2:00 PM",$E$2:E53,"N",$K$2:K53,"&lt;&gt;Y"),"")</f>
        <v/>
      </c>
      <c r="AN53" s="119">
        <f>IF(AND(AD53="Y",E53="N",K53="Y",OR(C53="12:15 PM",C53="2:00 PM")),SUMPRODUCT(($AD$2:AD53="Y")*($E$2:E53="N")*($K$2:K53="Y")*(($C$2:C53="12:15 PM")+($C$2:C53="2:00 PM"))), "")</f>
        <v/>
      </c>
      <c r="AO53" s="119">
        <f>IF(AND(AD53="Y",C53="12:15 PM",E53="N",L53="Y"),COUNTIFS($AD$2:AD53,"Y",$C$2:C53,"12:15 PM",$E$2:E53,"N",$L$2:L53,"Y"),"")</f>
        <v/>
      </c>
      <c r="AP53" s="119">
        <f>IF(AND(AD53="Y",C53="2:00 PM",E53="N",L53="Y"),COUNTIFS($AD$2:AD53,"Y",$C$2:C53,"2:00 PM",$E$2:E53,"N",$L$2:L53,"Y"),"")</f>
        <v/>
      </c>
    </row>
    <row r="54" ht="14.25" customHeight="1" s="120">
      <c r="A54" s="231" t="inlineStr">
        <is>
          <t>EMP-0056</t>
        </is>
      </c>
      <c r="B54" s="232" t="inlineStr">
        <is>
          <t>Elena Thomas</t>
        </is>
      </c>
      <c r="C54" s="232" t="inlineStr">
        <is>
          <t>12:15 PM</t>
        </is>
      </c>
      <c r="D54" s="232" t="inlineStr">
        <is>
          <t>Sat, Sun</t>
        </is>
      </c>
      <c r="E54" s="232" t="inlineStr">
        <is>
          <t>N</t>
        </is>
      </c>
      <c r="F54" s="232" t="inlineStr">
        <is>
          <t>N</t>
        </is>
      </c>
      <c r="G54" s="232" t="inlineStr">
        <is>
          <t>Y</t>
        </is>
      </c>
      <c r="H54" s="232" t="inlineStr">
        <is>
          <t>None</t>
        </is>
      </c>
      <c r="I54" s="232" t="inlineStr">
        <is>
          <t>Y</t>
        </is>
      </c>
      <c r="J54" s="232" t="inlineStr">
        <is>
          <t>N</t>
        </is>
      </c>
      <c r="K54" s="232" t="inlineStr">
        <is>
          <t>N</t>
        </is>
      </c>
      <c r="L54" s="232" t="inlineStr">
        <is>
          <t>Y</t>
        </is>
      </c>
      <c r="M54" s="232" t="inlineStr">
        <is>
          <t>Standard</t>
        </is>
      </c>
      <c r="N54" s="232" t="n"/>
      <c r="O54" s="232" t="n"/>
      <c r="P54" s="232" t="inlineStr">
        <is>
          <t>N</t>
        </is>
      </c>
      <c r="Q54" s="232" t="n"/>
      <c r="R54" s="232" t="n"/>
      <c r="S54" s="232" t="n"/>
      <c r="T54" s="233" t="inlineStr">
        <is>
          <t>N</t>
        </is>
      </c>
      <c r="U54" s="227">
        <f>IF($B54="","",IF(AND($G54="Y",ISERROR(SEARCH(TEXT('Control Center'!$B$3,"ddd"),TRIM($D54)))),"Y","N"))</f>
        <v/>
      </c>
      <c r="V54" s="227">
        <f>IF($B54="","",IF(AND($U54="Y",OR($C54="3:45 AM",$C54="5:45 AM"),OR('Control Center'!$B$4="N",$K54&lt;&gt;"Y")),"Y","N"))</f>
        <v/>
      </c>
      <c r="W54" s="227">
        <f>IF($B54="","",IF(AND($U54="Y",OR($C54="12:15 PM",$C54="2:00 PM"),OR('Control Center'!$B$5="N",$K54&lt;&gt;"Y")),"Y","N"))</f>
        <v/>
      </c>
      <c r="X54" s="228" t="n"/>
      <c r="Y54" s="229" t="n"/>
      <c r="Z54" s="228" t="n"/>
      <c r="AA54" s="229" t="n"/>
      <c r="AB54" s="230">
        <f>IF($B54="","",IF($P54="Y",IF($Y54="Y","Completed","In Progress"),""))</f>
        <v/>
      </c>
      <c r="AC54" s="119">
        <f>IF($B54="","",IF(COUNTIFS('Approved Absences'!$A$2:$A$200,$B54,'Approved Absences'!$B$2:$B$200,"&lt;="&amp;INT('Control Center'!$B$3),'Approved Absences'!$C$2:$C$200,"&gt;="&amp;INT('Control Center'!$B$3))&gt;0,"Y","N"))</f>
        <v/>
      </c>
      <c r="AD54" s="119">
        <f>IF($B54="","",IF(AND($G54="Y",$AC54&lt;&gt;"Y",ISERROR(SEARCH(TEXT('Control Center'!$B$3,"ddd"),TRIM($D54)))),"Y","N"))</f>
        <v/>
      </c>
      <c r="AE54" s="119">
        <f>IF(AND(AD54="Y",C54="3:45 AM",E54="N",K54&lt;&gt;"Y"),COUNTIFS($AD$2:AD54,"Y",$C$2:C54,"3:45 AM",$E$2:E54,"N",$K$2:K54,"&lt;&gt;Y"),"")</f>
        <v/>
      </c>
      <c r="AF54" s="119">
        <f>IF(AND(AD54="Y",C54="5:45 AM",E54="N",K54&lt;&gt;"Y"),COUNTIFS($AD$2:AD54,"Y",$C$2:C54,"5:45 AM",$E$2:E54,"N",$K$2:K54,"&lt;&gt;Y"),"")</f>
        <v/>
      </c>
      <c r="AG54" s="119">
        <f>IF(AND(AD54="Y",C54="3:45 AM",E54="N",L54="Y",K54&lt;&gt;"Y"),COUNTIFS($AD$2:AD54,"Y",$C$2:C54,"3:45 AM",$E$2:E54,"N",$L$2:L54,"Y",$K$2:K54,"&lt;&gt;Y"),"")</f>
        <v/>
      </c>
      <c r="AH54" s="119">
        <f>IF(AND(AD54="Y",C54="5:45 AM",E54="N",L54="Y",K54&lt;&gt;"Y"),COUNTIFS($AD$2:AD54,"Y",$C$2:C54,"5:45 AM",$E$2:E54,"N",$L$2:L54,"Y",$K$2:K54,"&lt;&gt;Y"),"")</f>
        <v/>
      </c>
      <c r="AI54" s="119">
        <f>IF(AND(AD54="Y",E54="N",K54="Y",OR(C54="3:45 AM",C54="5:45 AM")),SUMPRODUCT(($AD$2:AD54="Y")*($E$2:E54="N")*($K$2:K54="Y")*(($C$2:C54="3:45 AM")+($C$2:C54="5:45 AM"))), "")</f>
        <v/>
      </c>
      <c r="AJ54" s="119">
        <f>IF(AND(AD54="Y",C54="3:45 AM",E54="N",J54="Y"),COUNTIFS($AD$2:AD54,"Y",$C$2:C54,"3:45 AM",$E$2:E54,"N",$J$2:J54,"Y"),"")</f>
        <v/>
      </c>
      <c r="AK54" s="119">
        <f>IF(AND(AD54="Y",E54="N",I54="Y",OR(C54="3:45 AM",C54="5:45 AM")),SUMPRODUCT(($AD$2:AD54="Y")*($E$2:E54="N")*($I$2:I54="Y")*(($C$2:C54="3:45 AM")+($C$2:C54="5:45 AM"))), "")</f>
        <v/>
      </c>
      <c r="AL54" s="119">
        <f>IF(AND(AD54="Y",C54="12:15 PM",E54="N",K54&lt;&gt;"Y"),COUNTIFS($AD$2:AD54,"Y",$C$2:C54,"12:15 PM",$E$2:E54,"N",$K$2:K54,"&lt;&gt;Y"),"")</f>
        <v/>
      </c>
      <c r="AM54" s="119">
        <f>IF(AND(AD54="Y",C54="2:00 PM",E54="N",K54&lt;&gt;"Y"),COUNTIFS($AD$2:AD54,"Y",$C$2:C54,"2:00 PM",$E$2:E54,"N",$K$2:K54,"&lt;&gt;Y"),"")</f>
        <v/>
      </c>
      <c r="AN54" s="119">
        <f>IF(AND(AD54="Y",E54="N",K54="Y",OR(C54="12:15 PM",C54="2:00 PM")),SUMPRODUCT(($AD$2:AD54="Y")*($E$2:E54="N")*($K$2:K54="Y")*(($C$2:C54="12:15 PM")+($C$2:C54="2:00 PM"))), "")</f>
        <v/>
      </c>
      <c r="AO54" s="119">
        <f>IF(AND(AD54="Y",C54="12:15 PM",E54="N",L54="Y"),COUNTIFS($AD$2:AD54,"Y",$C$2:C54,"12:15 PM",$E$2:E54,"N",$L$2:L54,"Y"),"")</f>
        <v/>
      </c>
      <c r="AP54" s="119">
        <f>IF(AND(AD54="Y",C54="2:00 PM",E54="N",L54="Y"),COUNTIFS($AD$2:AD54,"Y",$C$2:C54,"2:00 PM",$E$2:E54,"N",$L$2:L54,"Y"),"")</f>
        <v/>
      </c>
    </row>
    <row r="55" ht="14.25" customHeight="1" s="120">
      <c r="A55" s="231" t="inlineStr">
        <is>
          <t>EMP-0057</t>
        </is>
      </c>
      <c r="B55" s="232" t="inlineStr">
        <is>
          <t>Elizabeth Harlee</t>
        </is>
      </c>
      <c r="C55" s="232" t="inlineStr">
        <is>
          <t>2:00 PM</t>
        </is>
      </c>
      <c r="D55" s="232" t="inlineStr">
        <is>
          <t>Tue, Wed</t>
        </is>
      </c>
      <c r="E55" s="232" t="inlineStr">
        <is>
          <t>N</t>
        </is>
      </c>
      <c r="F55" s="232" t="inlineStr">
        <is>
          <t>N</t>
        </is>
      </c>
      <c r="G55" s="232" t="inlineStr">
        <is>
          <t>Y</t>
        </is>
      </c>
      <c r="H55" s="232" t="inlineStr">
        <is>
          <t>None</t>
        </is>
      </c>
      <c r="I55" s="232" t="inlineStr">
        <is>
          <t>Y</t>
        </is>
      </c>
      <c r="J55" s="232" t="inlineStr">
        <is>
          <t>N</t>
        </is>
      </c>
      <c r="K55" s="232" t="inlineStr">
        <is>
          <t>N</t>
        </is>
      </c>
      <c r="L55" s="232" t="inlineStr">
        <is>
          <t>Y</t>
        </is>
      </c>
      <c r="M55" s="232" t="inlineStr">
        <is>
          <t>Standard</t>
        </is>
      </c>
      <c r="N55" s="232" t="n"/>
      <c r="O55" s="232" t="n"/>
      <c r="P55" s="232" t="inlineStr">
        <is>
          <t>N</t>
        </is>
      </c>
      <c r="Q55" s="232" t="n"/>
      <c r="R55" s="232" t="n"/>
      <c r="S55" s="232" t="n"/>
      <c r="T55" s="233" t="inlineStr">
        <is>
          <t>N</t>
        </is>
      </c>
      <c r="U55" s="227">
        <f>IF($B55="","",IF(AND($G55="Y",ISERROR(SEARCH(TEXT('Control Center'!$B$3,"ddd"),TRIM($D55)))),"Y","N"))</f>
        <v/>
      </c>
      <c r="V55" s="227">
        <f>IF($B55="","",IF(AND($U55="Y",OR($C55="3:45 AM",$C55="5:45 AM"),OR('Control Center'!$B$4="N",$K55&lt;&gt;"Y")),"Y","N"))</f>
        <v/>
      </c>
      <c r="W55" s="227">
        <f>IF($B55="","",IF(AND($U55="Y",OR($C55="12:15 PM",$C55="2:00 PM"),OR('Control Center'!$B$5="N",$K55&lt;&gt;"Y")),"Y","N"))</f>
        <v/>
      </c>
      <c r="X55" s="228" t="n"/>
      <c r="Y55" s="229" t="n"/>
      <c r="Z55" s="228" t="n"/>
      <c r="AA55" s="229" t="n"/>
      <c r="AB55" s="230">
        <f>IF($B55="","",IF($P55="Y",IF($Y55="Y","Completed","In Progress"),""))</f>
        <v/>
      </c>
      <c r="AC55" s="119">
        <f>IF($B55="","",IF(COUNTIFS('Approved Absences'!$A$2:$A$200,$B55,'Approved Absences'!$B$2:$B$200,"&lt;="&amp;INT('Control Center'!$B$3),'Approved Absences'!$C$2:$C$200,"&gt;="&amp;INT('Control Center'!$B$3))&gt;0,"Y","N"))</f>
        <v/>
      </c>
      <c r="AD55" s="119">
        <f>IF($B55="","",IF(AND($G55="Y",$AC55&lt;&gt;"Y",ISERROR(SEARCH(TEXT('Control Center'!$B$3,"ddd"),TRIM($D55)))),"Y","N"))</f>
        <v/>
      </c>
      <c r="AE55" s="119">
        <f>IF(AND(AD55="Y",C55="3:45 AM",E55="N",K55&lt;&gt;"Y"),COUNTIFS($AD$2:AD55,"Y",$C$2:C55,"3:45 AM",$E$2:E55,"N",$K$2:K55,"&lt;&gt;Y"),"")</f>
        <v/>
      </c>
      <c r="AF55" s="119">
        <f>IF(AND(AD55="Y",C55="5:45 AM",E55="N",K55&lt;&gt;"Y"),COUNTIFS($AD$2:AD55,"Y",$C$2:C55,"5:45 AM",$E$2:E55,"N",$K$2:K55,"&lt;&gt;Y"),"")</f>
        <v/>
      </c>
      <c r="AG55" s="119">
        <f>IF(AND(AD55="Y",C55="3:45 AM",E55="N",L55="Y",K55&lt;&gt;"Y"),COUNTIFS($AD$2:AD55,"Y",$C$2:C55,"3:45 AM",$E$2:E55,"N",$L$2:L55,"Y",$K$2:K55,"&lt;&gt;Y"),"")</f>
        <v/>
      </c>
      <c r="AH55" s="119">
        <f>IF(AND(AD55="Y",C55="5:45 AM",E55="N",L55="Y",K55&lt;&gt;"Y"),COUNTIFS($AD$2:AD55,"Y",$C$2:C55,"5:45 AM",$E$2:E55,"N",$L$2:L55,"Y",$K$2:K55,"&lt;&gt;Y"),"")</f>
        <v/>
      </c>
      <c r="AI55" s="119">
        <f>IF(AND(AD55="Y",E55="N",K55="Y",OR(C55="3:45 AM",C55="5:45 AM")),SUMPRODUCT(($AD$2:AD55="Y")*($E$2:E55="N")*($K$2:K55="Y")*(($C$2:C55="3:45 AM")+($C$2:C55="5:45 AM"))), "")</f>
        <v/>
      </c>
      <c r="AJ55" s="119">
        <f>IF(AND(AD55="Y",C55="3:45 AM",E55="N",J55="Y"),COUNTIFS($AD$2:AD55,"Y",$C$2:C55,"3:45 AM",$E$2:E55,"N",$J$2:J55,"Y"),"")</f>
        <v/>
      </c>
      <c r="AK55" s="119">
        <f>IF(AND(AD55="Y",E55="N",I55="Y",OR(C55="3:45 AM",C55="5:45 AM")),SUMPRODUCT(($AD$2:AD55="Y")*($E$2:E55="N")*($I$2:I55="Y")*(($C$2:C55="3:45 AM")+($C$2:C55="5:45 AM"))), "")</f>
        <v/>
      </c>
      <c r="AL55" s="119">
        <f>IF(AND(AD55="Y",C55="12:15 PM",E55="N",K55&lt;&gt;"Y"),COUNTIFS($AD$2:AD55,"Y",$C$2:C55,"12:15 PM",$E$2:E55,"N",$K$2:K55,"&lt;&gt;Y"),"")</f>
        <v/>
      </c>
      <c r="AM55" s="119">
        <f>IF(AND(AD55="Y",C55="2:00 PM",E55="N",K55&lt;&gt;"Y"),COUNTIFS($AD$2:AD55,"Y",$C$2:C55,"2:00 PM",$E$2:E55,"N",$K$2:K55,"&lt;&gt;Y"),"")</f>
        <v/>
      </c>
      <c r="AN55" s="119">
        <f>IF(AND(AD55="Y",E55="N",K55="Y",OR(C55="12:15 PM",C55="2:00 PM")),SUMPRODUCT(($AD$2:AD55="Y")*($E$2:E55="N")*($K$2:K55="Y")*(($C$2:C55="12:15 PM")+($C$2:C55="2:00 PM"))), "")</f>
        <v/>
      </c>
      <c r="AO55" s="119">
        <f>IF(AND(AD55="Y",C55="12:15 PM",E55="N",L55="Y"),COUNTIFS($AD$2:AD55,"Y",$C$2:C55,"12:15 PM",$E$2:E55,"N",$L$2:L55,"Y"),"")</f>
        <v/>
      </c>
      <c r="AP55" s="119">
        <f>IF(AND(AD55="Y",C55="2:00 PM",E55="N",L55="Y"),COUNTIFS($AD$2:AD55,"Y",$C$2:C55,"2:00 PM",$E$2:E55,"N",$L$2:L55,"Y"),"")</f>
        <v/>
      </c>
    </row>
    <row r="56" ht="14.25" customHeight="1" s="120">
      <c r="A56" s="231" t="inlineStr">
        <is>
          <t>EMP-0058</t>
        </is>
      </c>
      <c r="B56" s="232" t="inlineStr">
        <is>
          <t>Emmett Smith</t>
        </is>
      </c>
      <c r="C56" s="232" t="inlineStr">
        <is>
          <t>9:15 PM</t>
        </is>
      </c>
      <c r="D56" s="232" t="inlineStr">
        <is>
          <t>Tue, Wed</t>
        </is>
      </c>
      <c r="E56" s="232" t="inlineStr">
        <is>
          <t>N</t>
        </is>
      </c>
      <c r="F56" s="232" t="inlineStr">
        <is>
          <t>N</t>
        </is>
      </c>
      <c r="G56" s="232" t="inlineStr">
        <is>
          <t>Y</t>
        </is>
      </c>
      <c r="H56" s="232" t="inlineStr">
        <is>
          <t>None</t>
        </is>
      </c>
      <c r="I56" s="232" t="inlineStr">
        <is>
          <t>N</t>
        </is>
      </c>
      <c r="J56" s="232" t="inlineStr">
        <is>
          <t>N</t>
        </is>
      </c>
      <c r="K56" s="232" t="inlineStr">
        <is>
          <t>N</t>
        </is>
      </c>
      <c r="L56" s="232" t="inlineStr">
        <is>
          <t>Y</t>
        </is>
      </c>
      <c r="M56" s="232" t="inlineStr">
        <is>
          <t>Standard</t>
        </is>
      </c>
      <c r="N56" s="232" t="n"/>
      <c r="O56" s="232" t="n"/>
      <c r="P56" s="232" t="inlineStr">
        <is>
          <t>N</t>
        </is>
      </c>
      <c r="Q56" s="232" t="n"/>
      <c r="R56" s="232" t="n"/>
      <c r="S56" s="232" t="n"/>
      <c r="T56" s="233" t="inlineStr">
        <is>
          <t>N</t>
        </is>
      </c>
      <c r="U56" s="227">
        <f>IF($B56="","",IF(AND($G56="Y",ISERROR(SEARCH(TEXT('Control Center'!$B$3,"ddd"),TRIM($D56)))),"Y","N"))</f>
        <v/>
      </c>
      <c r="V56" s="227">
        <f>IF($B56="","",IF(AND($U56="Y",OR($C56="3:45 AM",$C56="5:45 AM"),OR('Control Center'!$B$4="N",$K56&lt;&gt;"Y")),"Y","N"))</f>
        <v/>
      </c>
      <c r="W56" s="227">
        <f>IF($B56="","",IF(AND($U56="Y",OR($C56="12:15 PM",$C56="2:00 PM"),OR('Control Center'!$B$5="N",$K56&lt;&gt;"Y")),"Y","N"))</f>
        <v/>
      </c>
      <c r="X56" s="228" t="n"/>
      <c r="Y56" s="229" t="n"/>
      <c r="Z56" s="228" t="n"/>
      <c r="AA56" s="229" t="n"/>
      <c r="AB56" s="230">
        <f>IF($B56="","",IF($P56="Y",IF($Y56="Y","Completed","In Progress"),""))</f>
        <v/>
      </c>
      <c r="AC56" s="119">
        <f>IF($B56="","",IF(COUNTIFS('Approved Absences'!$A$2:$A$200,$B56,'Approved Absences'!$B$2:$B$200,"&lt;="&amp;INT('Control Center'!$B$3),'Approved Absences'!$C$2:$C$200,"&gt;="&amp;INT('Control Center'!$B$3))&gt;0,"Y","N"))</f>
        <v/>
      </c>
      <c r="AD56" s="119">
        <f>IF($B56="","",IF(AND($G56="Y",$AC56&lt;&gt;"Y",ISERROR(SEARCH(TEXT('Control Center'!$B$3,"ddd"),TRIM($D56)))),"Y","N"))</f>
        <v/>
      </c>
      <c r="AE56" s="119">
        <f>IF(AND(AD56="Y",C56="3:45 AM",E56="N",K56&lt;&gt;"Y"),COUNTIFS($AD$2:AD56,"Y",$C$2:C56,"3:45 AM",$E$2:E56,"N",$K$2:K56,"&lt;&gt;Y"),"")</f>
        <v/>
      </c>
      <c r="AF56" s="119">
        <f>IF(AND(AD56="Y",C56="5:45 AM",E56="N",K56&lt;&gt;"Y"),COUNTIFS($AD$2:AD56,"Y",$C$2:C56,"5:45 AM",$E$2:E56,"N",$K$2:K56,"&lt;&gt;Y"),"")</f>
        <v/>
      </c>
      <c r="AG56" s="119">
        <f>IF(AND(AD56="Y",C56="3:45 AM",E56="N",L56="Y",K56&lt;&gt;"Y"),COUNTIFS($AD$2:AD56,"Y",$C$2:C56,"3:45 AM",$E$2:E56,"N",$L$2:L56,"Y",$K$2:K56,"&lt;&gt;Y"),"")</f>
        <v/>
      </c>
      <c r="AH56" s="119">
        <f>IF(AND(AD56="Y",C56="5:45 AM",E56="N",L56="Y",K56&lt;&gt;"Y"),COUNTIFS($AD$2:AD56,"Y",$C$2:C56,"5:45 AM",$E$2:E56,"N",$L$2:L56,"Y",$K$2:K56,"&lt;&gt;Y"),"")</f>
        <v/>
      </c>
      <c r="AI56" s="119">
        <f>IF(AND(AD56="Y",E56="N",K56="Y",OR(C56="3:45 AM",C56="5:45 AM")),SUMPRODUCT(($AD$2:AD56="Y")*($E$2:E56="N")*($K$2:K56="Y")*(($C$2:C56="3:45 AM")+($C$2:C56="5:45 AM"))), "")</f>
        <v/>
      </c>
      <c r="AJ56" s="119">
        <f>IF(AND(AD56="Y",C56="3:45 AM",E56="N",J56="Y"),COUNTIFS($AD$2:AD56,"Y",$C$2:C56,"3:45 AM",$E$2:E56,"N",$J$2:J56,"Y"),"")</f>
        <v/>
      </c>
      <c r="AK56" s="119">
        <f>IF(AND(AD56="Y",E56="N",I56="Y",OR(C56="3:45 AM",C56="5:45 AM")),SUMPRODUCT(($AD$2:AD56="Y")*($E$2:E56="N")*($I$2:I56="Y")*(($C$2:C56="3:45 AM")+($C$2:C56="5:45 AM"))), "")</f>
        <v/>
      </c>
      <c r="AL56" s="119">
        <f>IF(AND(AD56="Y",C56="12:15 PM",E56="N",K56&lt;&gt;"Y"),COUNTIFS($AD$2:AD56,"Y",$C$2:C56,"12:15 PM",$E$2:E56,"N",$K$2:K56,"&lt;&gt;Y"),"")</f>
        <v/>
      </c>
      <c r="AM56" s="119">
        <f>IF(AND(AD56="Y",C56="2:00 PM",E56="N",K56&lt;&gt;"Y"),COUNTIFS($AD$2:AD56,"Y",$C$2:C56,"2:00 PM",$E$2:E56,"N",$K$2:K56,"&lt;&gt;Y"),"")</f>
        <v/>
      </c>
      <c r="AN56" s="119">
        <f>IF(AND(AD56="Y",E56="N",K56="Y",OR(C56="12:15 PM",C56="2:00 PM")),SUMPRODUCT(($AD$2:AD56="Y")*($E$2:E56="N")*($K$2:K56="Y")*(($C$2:C56="12:15 PM")+($C$2:C56="2:00 PM"))), "")</f>
        <v/>
      </c>
      <c r="AO56" s="119">
        <f>IF(AND(AD56="Y",C56="12:15 PM",E56="N",L56="Y"),COUNTIFS($AD$2:AD56,"Y",$C$2:C56,"12:15 PM",$E$2:E56,"N",$L$2:L56,"Y"),"")</f>
        <v/>
      </c>
      <c r="AP56" s="119">
        <f>IF(AND(AD56="Y",C56="2:00 PM",E56="N",L56="Y"),COUNTIFS($AD$2:AD56,"Y",$C$2:C56,"2:00 PM",$E$2:E56,"N",$L$2:L56,"Y"),"")</f>
        <v/>
      </c>
    </row>
    <row r="57" ht="14.25" customHeight="1" s="120">
      <c r="A57" s="231" t="inlineStr">
        <is>
          <t>EMP-0059</t>
        </is>
      </c>
      <c r="B57" s="232" t="inlineStr">
        <is>
          <t>Emonnie Dorsey</t>
        </is>
      </c>
      <c r="C57" s="232" t="inlineStr">
        <is>
          <t>3:45 AM</t>
        </is>
      </c>
      <c r="D57" s="232" t="inlineStr">
        <is>
          <t>Sun, Mon</t>
        </is>
      </c>
      <c r="E57" s="232" t="inlineStr">
        <is>
          <t>N</t>
        </is>
      </c>
      <c r="F57" s="232" t="inlineStr">
        <is>
          <t>N</t>
        </is>
      </c>
      <c r="G57" s="232" t="inlineStr">
        <is>
          <t>Y</t>
        </is>
      </c>
      <c r="H57" s="232" t="inlineStr">
        <is>
          <t>None</t>
        </is>
      </c>
      <c r="I57" s="232" t="inlineStr">
        <is>
          <t>N</t>
        </is>
      </c>
      <c r="J57" s="232" t="inlineStr">
        <is>
          <t>N</t>
        </is>
      </c>
      <c r="K57" s="232" t="inlineStr">
        <is>
          <t>N</t>
        </is>
      </c>
      <c r="L57" s="232" t="inlineStr">
        <is>
          <t>Y</t>
        </is>
      </c>
      <c r="M57" s="232" t="inlineStr">
        <is>
          <t>Standard</t>
        </is>
      </c>
      <c r="N57" s="232" t="n"/>
      <c r="O57" s="232" t="n"/>
      <c r="P57" s="232" t="inlineStr">
        <is>
          <t>N</t>
        </is>
      </c>
      <c r="Q57" s="232" t="n"/>
      <c r="R57" s="232" t="n"/>
      <c r="S57" s="232" t="n"/>
      <c r="T57" s="233" t="inlineStr">
        <is>
          <t>N</t>
        </is>
      </c>
      <c r="U57" s="227">
        <f>IF($B57="","",IF(AND($G57="Y",ISERROR(SEARCH(TEXT('Control Center'!$B$3,"ddd"),TRIM($D57)))),"Y","N"))</f>
        <v/>
      </c>
      <c r="V57" s="227">
        <f>IF($B57="","",IF(AND($U57="Y",OR($C57="3:45 AM",$C57="5:45 AM"),OR('Control Center'!$B$4="N",$K57&lt;&gt;"Y")),"Y","N"))</f>
        <v/>
      </c>
      <c r="W57" s="227">
        <f>IF($B57="","",IF(AND($U57="Y",OR($C57="12:15 PM",$C57="2:00 PM"),OR('Control Center'!$B$5="N",$K57&lt;&gt;"Y")),"Y","N"))</f>
        <v/>
      </c>
      <c r="X57" s="228" t="n"/>
      <c r="Y57" s="229" t="n"/>
      <c r="Z57" s="228" t="n"/>
      <c r="AA57" s="229" t="n"/>
      <c r="AB57" s="230">
        <f>IF($B57="","",IF($P57="Y",IF($Y57="Y","Completed","In Progress"),""))</f>
        <v/>
      </c>
      <c r="AC57" s="119">
        <f>IF($B57="","",IF(COUNTIFS('Approved Absences'!$A$2:$A$200,$B57,'Approved Absences'!$B$2:$B$200,"&lt;="&amp;INT('Control Center'!$B$3),'Approved Absences'!$C$2:$C$200,"&gt;="&amp;INT('Control Center'!$B$3))&gt;0,"Y","N"))</f>
        <v/>
      </c>
      <c r="AD57" s="119">
        <f>IF($B57="","",IF(AND($G57="Y",$AC57&lt;&gt;"Y",ISERROR(SEARCH(TEXT('Control Center'!$B$3,"ddd"),TRIM($D57)))),"Y","N"))</f>
        <v/>
      </c>
      <c r="AE57" s="119">
        <f>IF(AND(AD57="Y",C57="3:45 AM",E57="N",K57&lt;&gt;"Y"),COUNTIFS($AD$2:AD57,"Y",$C$2:C57,"3:45 AM",$E$2:E57,"N",$K$2:K57,"&lt;&gt;Y"),"")</f>
        <v/>
      </c>
      <c r="AF57" s="119">
        <f>IF(AND(AD57="Y",C57="5:45 AM",E57="N",K57&lt;&gt;"Y"),COUNTIFS($AD$2:AD57,"Y",$C$2:C57,"5:45 AM",$E$2:E57,"N",$K$2:K57,"&lt;&gt;Y"),"")</f>
        <v/>
      </c>
      <c r="AG57" s="119">
        <f>IF(AND(AD57="Y",C57="3:45 AM",E57="N",L57="Y",K57&lt;&gt;"Y"),COUNTIFS($AD$2:AD57,"Y",$C$2:C57,"3:45 AM",$E$2:E57,"N",$L$2:L57,"Y",$K$2:K57,"&lt;&gt;Y"),"")</f>
        <v/>
      </c>
      <c r="AH57" s="119">
        <f>IF(AND(AD57="Y",C57="5:45 AM",E57="N",L57="Y",K57&lt;&gt;"Y"),COUNTIFS($AD$2:AD57,"Y",$C$2:C57,"5:45 AM",$E$2:E57,"N",$L$2:L57,"Y",$K$2:K57,"&lt;&gt;Y"),"")</f>
        <v/>
      </c>
      <c r="AI57" s="119">
        <f>IF(AND(AD57="Y",E57="N",K57="Y",OR(C57="3:45 AM",C57="5:45 AM")),SUMPRODUCT(($AD$2:AD57="Y")*($E$2:E57="N")*($K$2:K57="Y")*(($C$2:C57="3:45 AM")+($C$2:C57="5:45 AM"))), "")</f>
        <v/>
      </c>
      <c r="AJ57" s="119">
        <f>IF(AND(AD57="Y",C57="3:45 AM",E57="N",J57="Y"),COUNTIFS($AD$2:AD57,"Y",$C$2:C57,"3:45 AM",$E$2:E57,"N",$J$2:J57,"Y"),"")</f>
        <v/>
      </c>
      <c r="AK57" s="119">
        <f>IF(AND(AD57="Y",E57="N",I57="Y",OR(C57="3:45 AM",C57="5:45 AM")),SUMPRODUCT(($AD$2:AD57="Y")*($E$2:E57="N")*($I$2:I57="Y")*(($C$2:C57="3:45 AM")+($C$2:C57="5:45 AM"))), "")</f>
        <v/>
      </c>
      <c r="AL57" s="119">
        <f>IF(AND(AD57="Y",C57="12:15 PM",E57="N",K57&lt;&gt;"Y"),COUNTIFS($AD$2:AD57,"Y",$C$2:C57,"12:15 PM",$E$2:E57,"N",$K$2:K57,"&lt;&gt;Y"),"")</f>
        <v/>
      </c>
      <c r="AM57" s="119">
        <f>IF(AND(AD57="Y",C57="2:00 PM",E57="N",K57&lt;&gt;"Y"),COUNTIFS($AD$2:AD57,"Y",$C$2:C57,"2:00 PM",$E$2:E57,"N",$K$2:K57,"&lt;&gt;Y"),"")</f>
        <v/>
      </c>
      <c r="AN57" s="119">
        <f>IF(AND(AD57="Y",E57="N",K57="Y",OR(C57="12:15 PM",C57="2:00 PM")),SUMPRODUCT(($AD$2:AD57="Y")*($E$2:E57="N")*($K$2:K57="Y")*(($C$2:C57="12:15 PM")+($C$2:C57="2:00 PM"))), "")</f>
        <v/>
      </c>
      <c r="AO57" s="119">
        <f>IF(AND(AD57="Y",C57="12:15 PM",E57="N",L57="Y"),COUNTIFS($AD$2:AD57,"Y",$C$2:C57,"12:15 PM",$E$2:E57,"N",$L$2:L57,"Y"),"")</f>
        <v/>
      </c>
      <c r="AP57" s="119">
        <f>IF(AND(AD57="Y",C57="2:00 PM",E57="N",L57="Y"),COUNTIFS($AD$2:AD57,"Y",$C$2:C57,"2:00 PM",$E$2:E57,"N",$L$2:L57,"Y"),"")</f>
        <v/>
      </c>
    </row>
    <row r="58" ht="14.25" customHeight="1" s="120">
      <c r="A58" s="231" t="inlineStr">
        <is>
          <t>EMP-0060</t>
        </is>
      </c>
      <c r="B58" s="232" t="inlineStr">
        <is>
          <t>Ermias Belayneh</t>
        </is>
      </c>
      <c r="C58" s="232" t="inlineStr">
        <is>
          <t>12:15 PM</t>
        </is>
      </c>
      <c r="D58" s="232" t="inlineStr">
        <is>
          <t>Sun, Mon</t>
        </is>
      </c>
      <c r="E58" s="232" t="inlineStr">
        <is>
          <t>N</t>
        </is>
      </c>
      <c r="F58" s="232" t="inlineStr">
        <is>
          <t>N</t>
        </is>
      </c>
      <c r="G58" s="232" t="inlineStr">
        <is>
          <t>Y</t>
        </is>
      </c>
      <c r="H58" s="232" t="inlineStr">
        <is>
          <t>5:00 PM</t>
        </is>
      </c>
      <c r="I58" s="232" t="inlineStr">
        <is>
          <t>N</t>
        </is>
      </c>
      <c r="J58" s="232" t="inlineStr">
        <is>
          <t>N</t>
        </is>
      </c>
      <c r="K58" s="232" t="inlineStr">
        <is>
          <t>N</t>
        </is>
      </c>
      <c r="L58" s="232" t="inlineStr">
        <is>
          <t>N</t>
        </is>
      </c>
      <c r="M58" s="232" t="inlineStr">
        <is>
          <t>Standard</t>
        </is>
      </c>
      <c r="N58" s="232" t="n"/>
      <c r="O58" s="232" t="n"/>
      <c r="P58" s="232" t="inlineStr">
        <is>
          <t>N</t>
        </is>
      </c>
      <c r="Q58" s="232" t="n"/>
      <c r="R58" s="232" t="n"/>
      <c r="S58" s="232" t="n"/>
      <c r="T58" s="233" t="inlineStr">
        <is>
          <t>Y</t>
        </is>
      </c>
      <c r="U58" s="227">
        <f>IF($B58="","",IF(AND($G58="Y",ISERROR(SEARCH(TEXT('Control Center'!$B$3,"ddd"),TRIM($D58)))),"Y","N"))</f>
        <v/>
      </c>
      <c r="V58" s="227">
        <f>IF($B58="","",IF(AND($U58="Y",OR($C58="3:45 AM",$C58="5:45 AM"),OR('Control Center'!$B$4="N",$K58&lt;&gt;"Y")),"Y","N"))</f>
        <v/>
      </c>
      <c r="W58" s="227">
        <f>IF($B58="","",IF(AND($U58="Y",OR($C58="12:15 PM",$C58="2:00 PM"),OR('Control Center'!$B$5="N",$K58&lt;&gt;"Y")),"Y","N"))</f>
        <v/>
      </c>
      <c r="X58" s="228" t="n"/>
      <c r="Y58" s="229" t="n"/>
      <c r="Z58" s="228" t="n"/>
      <c r="AA58" s="229" t="n"/>
      <c r="AB58" s="230">
        <f>IF($B58="","",IF($P58="Y",IF($Y58="Y","Completed","In Progress"),""))</f>
        <v/>
      </c>
      <c r="AC58" s="119">
        <f>IF($B58="","",IF(COUNTIFS('Approved Absences'!$A$2:$A$200,$B58,'Approved Absences'!$B$2:$B$200,"&lt;="&amp;INT('Control Center'!$B$3),'Approved Absences'!$C$2:$C$200,"&gt;="&amp;INT('Control Center'!$B$3))&gt;0,"Y","N"))</f>
        <v/>
      </c>
      <c r="AD58" s="119">
        <f>IF($B58="","",IF(AND($G58="Y",$AC58&lt;&gt;"Y",ISERROR(SEARCH(TEXT('Control Center'!$B$3,"ddd"),TRIM($D58)))),"Y","N"))</f>
        <v/>
      </c>
      <c r="AE58" s="119">
        <f>IF(AND(AD58="Y",C58="3:45 AM",E58="N",K58&lt;&gt;"Y"),COUNTIFS($AD$2:AD58,"Y",$C$2:C58,"3:45 AM",$E$2:E58,"N",$K$2:K58,"&lt;&gt;Y"),"")</f>
        <v/>
      </c>
      <c r="AF58" s="119">
        <f>IF(AND(AD58="Y",C58="5:45 AM",E58="N",K58&lt;&gt;"Y"),COUNTIFS($AD$2:AD58,"Y",$C$2:C58,"5:45 AM",$E$2:E58,"N",$K$2:K58,"&lt;&gt;Y"),"")</f>
        <v/>
      </c>
      <c r="AG58" s="119">
        <f>IF(AND(AD58="Y",C58="3:45 AM",E58="N",L58="Y",K58&lt;&gt;"Y"),COUNTIFS($AD$2:AD58,"Y",$C$2:C58,"3:45 AM",$E$2:E58,"N",$L$2:L58,"Y",$K$2:K58,"&lt;&gt;Y"),"")</f>
        <v/>
      </c>
      <c r="AH58" s="119">
        <f>IF(AND(AD58="Y",C58="5:45 AM",E58="N",L58="Y",K58&lt;&gt;"Y"),COUNTIFS($AD$2:AD58,"Y",$C$2:C58,"5:45 AM",$E$2:E58,"N",$L$2:L58,"Y",$K$2:K58,"&lt;&gt;Y"),"")</f>
        <v/>
      </c>
      <c r="AI58" s="119">
        <f>IF(AND(AD58="Y",E58="N",K58="Y",OR(C58="3:45 AM",C58="5:45 AM")),SUMPRODUCT(($AD$2:AD58="Y")*($E$2:E58="N")*($K$2:K58="Y")*(($C$2:C58="3:45 AM")+($C$2:C58="5:45 AM"))), "")</f>
        <v/>
      </c>
      <c r="AJ58" s="119">
        <f>IF(AND(AD58="Y",C58="3:45 AM",E58="N",J58="Y"),COUNTIFS($AD$2:AD58,"Y",$C$2:C58,"3:45 AM",$E$2:E58,"N",$J$2:J58,"Y"),"")</f>
        <v/>
      </c>
      <c r="AK58" s="119">
        <f>IF(AND(AD58="Y",E58="N",I58="Y",OR(C58="3:45 AM",C58="5:45 AM")),SUMPRODUCT(($AD$2:AD58="Y")*($E$2:E58="N")*($I$2:I58="Y")*(($C$2:C58="3:45 AM")+($C$2:C58="5:45 AM"))), "")</f>
        <v/>
      </c>
      <c r="AL58" s="119">
        <f>IF(AND(AD58="Y",C58="12:15 PM",E58="N",K58&lt;&gt;"Y"),COUNTIFS($AD$2:AD58,"Y",$C$2:C58,"12:15 PM",$E$2:E58,"N",$K$2:K58,"&lt;&gt;Y"),"")</f>
        <v/>
      </c>
      <c r="AM58" s="119">
        <f>IF(AND(AD58="Y",C58="2:00 PM",E58="N",K58&lt;&gt;"Y"),COUNTIFS($AD$2:AD58,"Y",$C$2:C58,"2:00 PM",$E$2:E58,"N",$K$2:K58,"&lt;&gt;Y"),"")</f>
        <v/>
      </c>
      <c r="AN58" s="119">
        <f>IF(AND(AD58="Y",E58="N",K58="Y",OR(C58="12:15 PM",C58="2:00 PM")),SUMPRODUCT(($AD$2:AD58="Y")*($E$2:E58="N")*($K$2:K58="Y")*(($C$2:C58="12:15 PM")+($C$2:C58="2:00 PM"))), "")</f>
        <v/>
      </c>
      <c r="AO58" s="119">
        <f>IF(AND(AD58="Y",C58="12:15 PM",E58="N",L58="Y"),COUNTIFS($AD$2:AD58,"Y",$C$2:C58,"12:15 PM",$E$2:E58,"N",$L$2:L58,"Y"),"")</f>
        <v/>
      </c>
      <c r="AP58" s="119">
        <f>IF(AND(AD58="Y",C58="2:00 PM",E58="N",L58="Y"),COUNTIFS($AD$2:AD58,"Y",$C$2:C58,"2:00 PM",$E$2:E58,"N",$L$2:L58,"Y"),"")</f>
        <v/>
      </c>
    </row>
    <row r="59" ht="14.25" customHeight="1" s="120">
      <c r="A59" s="231" t="inlineStr">
        <is>
          <t>EMP-0061</t>
        </is>
      </c>
      <c r="B59" s="232" t="inlineStr">
        <is>
          <t>Eyerusalem Esubaluw</t>
        </is>
      </c>
      <c r="C59" s="232" t="inlineStr">
        <is>
          <t>12:15 PM</t>
        </is>
      </c>
      <c r="D59" s="232" t="inlineStr">
        <is>
          <t>Wed, Thu</t>
        </is>
      </c>
      <c r="E59" s="232" t="inlineStr">
        <is>
          <t>N</t>
        </is>
      </c>
      <c r="F59" s="232" t="inlineStr">
        <is>
          <t>N</t>
        </is>
      </c>
      <c r="G59" s="232" t="inlineStr">
        <is>
          <t>Y</t>
        </is>
      </c>
      <c r="H59" s="232" t="inlineStr">
        <is>
          <t>None</t>
        </is>
      </c>
      <c r="I59" s="232" t="inlineStr">
        <is>
          <t>N</t>
        </is>
      </c>
      <c r="J59" s="232" t="inlineStr">
        <is>
          <t>N</t>
        </is>
      </c>
      <c r="K59" s="232" t="inlineStr">
        <is>
          <t>N</t>
        </is>
      </c>
      <c r="L59" s="232" t="inlineStr">
        <is>
          <t>Y</t>
        </is>
      </c>
      <c r="M59" s="232" t="inlineStr">
        <is>
          <t>Standard</t>
        </is>
      </c>
      <c r="N59" s="232" t="n"/>
      <c r="O59" s="232" t="n"/>
      <c r="P59" s="232" t="inlineStr">
        <is>
          <t>N</t>
        </is>
      </c>
      <c r="Q59" s="232" t="n"/>
      <c r="R59" s="232" t="n"/>
      <c r="S59" s="232" t="n"/>
      <c r="T59" s="233" t="inlineStr">
        <is>
          <t>N</t>
        </is>
      </c>
      <c r="U59" s="227">
        <f>IF($B59="","",IF(AND($G59="Y",ISERROR(SEARCH(TEXT('Control Center'!$B$3,"ddd"),TRIM($D59)))),"Y","N"))</f>
        <v/>
      </c>
      <c r="V59" s="227">
        <f>IF($B59="","",IF(AND($U59="Y",OR($C59="3:45 AM",$C59="5:45 AM"),OR('Control Center'!$B$4="N",$K59&lt;&gt;"Y")),"Y","N"))</f>
        <v/>
      </c>
      <c r="W59" s="227">
        <f>IF($B59="","",IF(AND($U59="Y",OR($C59="12:15 PM",$C59="2:00 PM"),OR('Control Center'!$B$5="N",$K59&lt;&gt;"Y")),"Y","N"))</f>
        <v/>
      </c>
      <c r="X59" s="228" t="n"/>
      <c r="Y59" s="229" t="n"/>
      <c r="Z59" s="228" t="n"/>
      <c r="AA59" s="229" t="n"/>
      <c r="AB59" s="230">
        <f>IF($B59="","",IF($P59="Y",IF($Y59="Y","Completed","In Progress"),""))</f>
        <v/>
      </c>
      <c r="AC59" s="119">
        <f>IF($B59="","",IF(COUNTIFS('Approved Absences'!$A$2:$A$200,$B59,'Approved Absences'!$B$2:$B$200,"&lt;="&amp;INT('Control Center'!$B$3),'Approved Absences'!$C$2:$C$200,"&gt;="&amp;INT('Control Center'!$B$3))&gt;0,"Y","N"))</f>
        <v/>
      </c>
      <c r="AD59" s="119">
        <f>IF($B59="","",IF(AND($G59="Y",$AC59&lt;&gt;"Y",ISERROR(SEARCH(TEXT('Control Center'!$B$3,"ddd"),TRIM($D59)))),"Y","N"))</f>
        <v/>
      </c>
      <c r="AE59" s="119">
        <f>IF(AND(AD59="Y",C59="3:45 AM",E59="N",K59&lt;&gt;"Y"),COUNTIFS($AD$2:AD59,"Y",$C$2:C59,"3:45 AM",$E$2:E59,"N",$K$2:K59,"&lt;&gt;Y"),"")</f>
        <v/>
      </c>
      <c r="AF59" s="119">
        <f>IF(AND(AD59="Y",C59="5:45 AM",E59="N",K59&lt;&gt;"Y"),COUNTIFS($AD$2:AD59,"Y",$C$2:C59,"5:45 AM",$E$2:E59,"N",$K$2:K59,"&lt;&gt;Y"),"")</f>
        <v/>
      </c>
      <c r="AG59" s="119">
        <f>IF(AND(AD59="Y",C59="3:45 AM",E59="N",L59="Y",K59&lt;&gt;"Y"),COUNTIFS($AD$2:AD59,"Y",$C$2:C59,"3:45 AM",$E$2:E59,"N",$L$2:L59,"Y",$K$2:K59,"&lt;&gt;Y"),"")</f>
        <v/>
      </c>
      <c r="AH59" s="119">
        <f>IF(AND(AD59="Y",C59="5:45 AM",E59="N",L59="Y",K59&lt;&gt;"Y"),COUNTIFS($AD$2:AD59,"Y",$C$2:C59,"5:45 AM",$E$2:E59,"N",$L$2:L59,"Y",$K$2:K59,"&lt;&gt;Y"),"")</f>
        <v/>
      </c>
      <c r="AI59" s="119">
        <f>IF(AND(AD59="Y",E59="N",K59="Y",OR(C59="3:45 AM",C59="5:45 AM")),SUMPRODUCT(($AD$2:AD59="Y")*($E$2:E59="N")*($K$2:K59="Y")*(($C$2:C59="3:45 AM")+($C$2:C59="5:45 AM"))), "")</f>
        <v/>
      </c>
      <c r="AJ59" s="119">
        <f>IF(AND(AD59="Y",C59="3:45 AM",E59="N",J59="Y"),COUNTIFS($AD$2:AD59,"Y",$C$2:C59,"3:45 AM",$E$2:E59,"N",$J$2:J59,"Y"),"")</f>
        <v/>
      </c>
      <c r="AK59" s="119">
        <f>IF(AND(AD59="Y",E59="N",I59="Y",OR(C59="3:45 AM",C59="5:45 AM")),SUMPRODUCT(($AD$2:AD59="Y")*($E$2:E59="N")*($I$2:I59="Y")*(($C$2:C59="3:45 AM")+($C$2:C59="5:45 AM"))), "")</f>
        <v/>
      </c>
      <c r="AL59" s="119">
        <f>IF(AND(AD59="Y",C59="12:15 PM",E59="N",K59&lt;&gt;"Y"),COUNTIFS($AD$2:AD59,"Y",$C$2:C59,"12:15 PM",$E$2:E59,"N",$K$2:K59,"&lt;&gt;Y"),"")</f>
        <v/>
      </c>
      <c r="AM59" s="119">
        <f>IF(AND(AD59="Y",C59="2:00 PM",E59="N",K59&lt;&gt;"Y"),COUNTIFS($AD$2:AD59,"Y",$C$2:C59,"2:00 PM",$E$2:E59,"N",$K$2:K59,"&lt;&gt;Y"),"")</f>
        <v/>
      </c>
      <c r="AN59" s="119">
        <f>IF(AND(AD59="Y",E59="N",K59="Y",OR(C59="12:15 PM",C59="2:00 PM")),SUMPRODUCT(($AD$2:AD59="Y")*($E$2:E59="N")*($K$2:K59="Y")*(($C$2:C59="12:15 PM")+($C$2:C59="2:00 PM"))), "")</f>
        <v/>
      </c>
      <c r="AO59" s="119">
        <f>IF(AND(AD59="Y",C59="12:15 PM",E59="N",L59="Y"),COUNTIFS($AD$2:AD59,"Y",$C$2:C59,"12:15 PM",$E$2:E59,"N",$L$2:L59,"Y"),"")</f>
        <v/>
      </c>
      <c r="AP59" s="119">
        <f>IF(AND(AD59="Y",C59="2:00 PM",E59="N",L59="Y"),COUNTIFS($AD$2:AD59,"Y",$C$2:C59,"2:00 PM",$E$2:E59,"N",$L$2:L59,"Y"),"")</f>
        <v/>
      </c>
    </row>
    <row r="60" ht="14.25" customHeight="1" s="120">
      <c r="A60" s="231" t="inlineStr">
        <is>
          <t>EMP-0062</t>
        </is>
      </c>
      <c r="B60" s="232" t="inlineStr">
        <is>
          <t>Falana Broughton</t>
        </is>
      </c>
      <c r="C60" s="232" t="inlineStr">
        <is>
          <t>12:15 PM</t>
        </is>
      </c>
      <c r="D60" s="232" t="inlineStr">
        <is>
          <t>Fri, Sat</t>
        </is>
      </c>
      <c r="E60" s="232" t="inlineStr">
        <is>
          <t>N</t>
        </is>
      </c>
      <c r="F60" s="232" t="inlineStr">
        <is>
          <t>N</t>
        </is>
      </c>
      <c r="G60" s="232" t="inlineStr">
        <is>
          <t>Y</t>
        </is>
      </c>
      <c r="H60" s="232" t="inlineStr">
        <is>
          <t>None</t>
        </is>
      </c>
      <c r="I60" s="232" t="inlineStr">
        <is>
          <t>N</t>
        </is>
      </c>
      <c r="J60" s="232" t="inlineStr">
        <is>
          <t>N</t>
        </is>
      </c>
      <c r="K60" s="232" t="inlineStr">
        <is>
          <t>Y</t>
        </is>
      </c>
      <c r="L60" s="232" t="inlineStr">
        <is>
          <t>Y</t>
        </is>
      </c>
      <c r="M60" s="232" t="inlineStr">
        <is>
          <t>Standard</t>
        </is>
      </c>
      <c r="N60" s="232" t="n"/>
      <c r="O60" s="232" t="n"/>
      <c r="P60" s="232" t="inlineStr">
        <is>
          <t>N</t>
        </is>
      </c>
      <c r="Q60" s="232" t="n"/>
      <c r="R60" s="232" t="n"/>
      <c r="S60" s="232" t="n"/>
      <c r="T60" s="233" t="inlineStr">
        <is>
          <t>N</t>
        </is>
      </c>
      <c r="U60" s="227">
        <f>IF($B60="","",IF(AND($G60="Y",ISERROR(SEARCH(TEXT('Control Center'!$B$3,"ddd"),TRIM($D60)))),"Y","N"))</f>
        <v/>
      </c>
      <c r="V60" s="227">
        <f>IF($B60="","",IF(AND($U60="Y",OR($C60="3:45 AM",$C60="5:45 AM"),OR('Control Center'!$B$4="N",$K60&lt;&gt;"Y")),"Y","N"))</f>
        <v/>
      </c>
      <c r="W60" s="227">
        <f>IF($B60="","",IF(AND($U60="Y",OR($C60="12:15 PM",$C60="2:00 PM"),OR('Control Center'!$B$5="N",$K60&lt;&gt;"Y")),"Y","N"))</f>
        <v/>
      </c>
      <c r="X60" s="228" t="n"/>
      <c r="Y60" s="229" t="n"/>
      <c r="Z60" s="228" t="n"/>
      <c r="AA60" s="229" t="n"/>
      <c r="AB60" s="230">
        <f>IF($B60="","",IF($P60="Y",IF($Y60="Y","Completed","In Progress"),""))</f>
        <v/>
      </c>
      <c r="AC60" s="119">
        <f>IF($B60="","",IF(COUNTIFS('Approved Absences'!$A$2:$A$200,$B60,'Approved Absences'!$B$2:$B$200,"&lt;="&amp;INT('Control Center'!$B$3),'Approved Absences'!$C$2:$C$200,"&gt;="&amp;INT('Control Center'!$B$3))&gt;0,"Y","N"))</f>
        <v/>
      </c>
      <c r="AD60" s="119">
        <f>IF($B60="","",IF(AND($G60="Y",$AC60&lt;&gt;"Y",ISERROR(SEARCH(TEXT('Control Center'!$B$3,"ddd"),TRIM($D60)))),"Y","N"))</f>
        <v/>
      </c>
      <c r="AE60" s="119">
        <f>IF(AND(AD60="Y",C60="3:45 AM",E60="N",K60&lt;&gt;"Y"),COUNTIFS($AD$2:AD60,"Y",$C$2:C60,"3:45 AM",$E$2:E60,"N",$K$2:K60,"&lt;&gt;Y"),"")</f>
        <v/>
      </c>
      <c r="AF60" s="119">
        <f>IF(AND(AD60="Y",C60="5:45 AM",E60="N",K60&lt;&gt;"Y"),COUNTIFS($AD$2:AD60,"Y",$C$2:C60,"5:45 AM",$E$2:E60,"N",$K$2:K60,"&lt;&gt;Y"),"")</f>
        <v/>
      </c>
      <c r="AG60" s="119">
        <f>IF(AND(AD60="Y",C60="3:45 AM",E60="N",L60="Y",K60&lt;&gt;"Y"),COUNTIFS($AD$2:AD60,"Y",$C$2:C60,"3:45 AM",$E$2:E60,"N",$L$2:L60,"Y",$K$2:K60,"&lt;&gt;Y"),"")</f>
        <v/>
      </c>
      <c r="AH60" s="119">
        <f>IF(AND(AD60="Y",C60="5:45 AM",E60="N",L60="Y",K60&lt;&gt;"Y"),COUNTIFS($AD$2:AD60,"Y",$C$2:C60,"5:45 AM",$E$2:E60,"N",$L$2:L60,"Y",$K$2:K60,"&lt;&gt;Y"),"")</f>
        <v/>
      </c>
      <c r="AI60" s="119">
        <f>IF(AND(AD60="Y",E60="N",K60="Y",OR(C60="3:45 AM",C60="5:45 AM")),SUMPRODUCT(($AD$2:AD60="Y")*($E$2:E60="N")*($K$2:K60="Y")*(($C$2:C60="3:45 AM")+($C$2:C60="5:45 AM"))), "")</f>
        <v/>
      </c>
      <c r="AJ60" s="119">
        <f>IF(AND(AD60="Y",C60="3:45 AM",E60="N",J60="Y"),COUNTIFS($AD$2:AD60,"Y",$C$2:C60,"3:45 AM",$E$2:E60,"N",$J$2:J60,"Y"),"")</f>
        <v/>
      </c>
      <c r="AK60" s="119">
        <f>IF(AND(AD60="Y",E60="N",I60="Y",OR(C60="3:45 AM",C60="5:45 AM")),SUMPRODUCT(($AD$2:AD60="Y")*($E$2:E60="N")*($I$2:I60="Y")*(($C$2:C60="3:45 AM")+($C$2:C60="5:45 AM"))), "")</f>
        <v/>
      </c>
      <c r="AL60" s="119">
        <f>IF(AND(AD60="Y",C60="12:15 PM",E60="N",K60&lt;&gt;"Y"),COUNTIFS($AD$2:AD60,"Y",$C$2:C60,"12:15 PM",$E$2:E60,"N",$K$2:K60,"&lt;&gt;Y"),"")</f>
        <v/>
      </c>
      <c r="AM60" s="119">
        <f>IF(AND(AD60="Y",C60="2:00 PM",E60="N",K60&lt;&gt;"Y"),COUNTIFS($AD$2:AD60,"Y",$C$2:C60,"2:00 PM",$E$2:E60,"N",$K$2:K60,"&lt;&gt;Y"),"")</f>
        <v/>
      </c>
      <c r="AN60" s="119">
        <f>IF(AND(AD60="Y",E60="N",K60="Y",OR(C60="12:15 PM",C60="2:00 PM")),SUMPRODUCT(($AD$2:AD60="Y")*($E$2:E60="N")*($K$2:K60="Y")*(($C$2:C60="12:15 PM")+($C$2:C60="2:00 PM"))), "")</f>
        <v/>
      </c>
      <c r="AO60" s="119">
        <f>IF(AND(AD60="Y",C60="12:15 PM",E60="N",L60="Y"),COUNTIFS($AD$2:AD60,"Y",$C$2:C60,"12:15 PM",$E$2:E60,"N",$L$2:L60,"Y"),"")</f>
        <v/>
      </c>
      <c r="AP60" s="119">
        <f>IF(AND(AD60="Y",C60="2:00 PM",E60="N",L60="Y"),COUNTIFS($AD$2:AD60,"Y",$C$2:C60,"2:00 PM",$E$2:E60,"N",$L$2:L60,"Y"),"")</f>
        <v/>
      </c>
    </row>
    <row r="61" ht="14.25" customHeight="1" s="120">
      <c r="A61" s="231" t="inlineStr">
        <is>
          <t>EMP-0063</t>
        </is>
      </c>
      <c r="B61" s="232" t="inlineStr">
        <is>
          <t>Feleke Tekle</t>
        </is>
      </c>
      <c r="C61" s="232" t="inlineStr">
        <is>
          <t>5:45 AM</t>
        </is>
      </c>
      <c r="D61" s="232" t="inlineStr">
        <is>
          <t>Wed, Thu</t>
        </is>
      </c>
      <c r="E61" s="232" t="inlineStr">
        <is>
          <t>N</t>
        </is>
      </c>
      <c r="F61" s="232" t="inlineStr">
        <is>
          <t>N</t>
        </is>
      </c>
      <c r="G61" s="232" t="inlineStr">
        <is>
          <t>Y</t>
        </is>
      </c>
      <c r="H61" s="232" t="inlineStr">
        <is>
          <t>None</t>
        </is>
      </c>
      <c r="I61" s="232" t="inlineStr">
        <is>
          <t>N</t>
        </is>
      </c>
      <c r="J61" s="232" t="inlineStr">
        <is>
          <t>Y</t>
        </is>
      </c>
      <c r="K61" s="232" t="inlineStr">
        <is>
          <t>N</t>
        </is>
      </c>
      <c r="L61" s="232" t="inlineStr">
        <is>
          <t>Y</t>
        </is>
      </c>
      <c r="M61" s="232" t="inlineStr">
        <is>
          <t>Standard</t>
        </is>
      </c>
      <c r="N61" s="232" t="n"/>
      <c r="O61" s="232" t="n"/>
      <c r="P61" s="232" t="inlineStr">
        <is>
          <t>N</t>
        </is>
      </c>
      <c r="Q61" s="232" t="n"/>
      <c r="R61" s="232" t="n"/>
      <c r="S61" s="232" t="n"/>
      <c r="T61" s="233" t="inlineStr">
        <is>
          <t>N</t>
        </is>
      </c>
      <c r="U61" s="227">
        <f>IF($B61="","",IF(AND($G61="Y",ISERROR(SEARCH(TEXT('Control Center'!$B$3,"ddd"),TRIM($D61)))),"Y","N"))</f>
        <v/>
      </c>
      <c r="V61" s="227">
        <f>IF($B61="","",IF(AND($U61="Y",OR($C61="3:45 AM",$C61="5:45 AM"),OR('Control Center'!$B$4="N",$K61&lt;&gt;"Y")),"Y","N"))</f>
        <v/>
      </c>
      <c r="W61" s="227">
        <f>IF($B61="","",IF(AND($U61="Y",OR($C61="12:15 PM",$C61="2:00 PM"),OR('Control Center'!$B$5="N",$K61&lt;&gt;"Y")),"Y","N"))</f>
        <v/>
      </c>
      <c r="X61" s="228" t="n"/>
      <c r="Y61" s="229" t="n"/>
      <c r="Z61" s="228" t="n"/>
      <c r="AA61" s="229" t="n"/>
      <c r="AB61" s="230">
        <f>IF($B61="","",IF($P61="Y",IF($Y61="Y","Completed","In Progress"),""))</f>
        <v/>
      </c>
      <c r="AC61" s="119">
        <f>IF($B61="","",IF(COUNTIFS('Approved Absences'!$A$2:$A$200,$B61,'Approved Absences'!$B$2:$B$200,"&lt;="&amp;INT('Control Center'!$B$3),'Approved Absences'!$C$2:$C$200,"&gt;="&amp;INT('Control Center'!$B$3))&gt;0,"Y","N"))</f>
        <v/>
      </c>
      <c r="AD61" s="119">
        <f>IF($B61="","",IF(AND($G61="Y",$AC61&lt;&gt;"Y",ISERROR(SEARCH(TEXT('Control Center'!$B$3,"ddd"),TRIM($D61)))),"Y","N"))</f>
        <v/>
      </c>
      <c r="AE61" s="119">
        <f>IF(AND(AD61="Y",C61="3:45 AM",E61="N",K61&lt;&gt;"Y"),COUNTIFS($AD$2:AD61,"Y",$C$2:C61,"3:45 AM",$E$2:E61,"N",$K$2:K61,"&lt;&gt;Y"),"")</f>
        <v/>
      </c>
      <c r="AF61" s="119">
        <f>IF(AND(AD61="Y",C61="5:45 AM",E61="N",K61&lt;&gt;"Y"),COUNTIFS($AD$2:AD61,"Y",$C$2:C61,"5:45 AM",$E$2:E61,"N",$K$2:K61,"&lt;&gt;Y"),"")</f>
        <v/>
      </c>
      <c r="AG61" s="119">
        <f>IF(AND(AD61="Y",C61="3:45 AM",E61="N",L61="Y",K61&lt;&gt;"Y"),COUNTIFS($AD$2:AD61,"Y",$C$2:C61,"3:45 AM",$E$2:E61,"N",$L$2:L61,"Y",$K$2:K61,"&lt;&gt;Y"),"")</f>
        <v/>
      </c>
      <c r="AH61" s="119">
        <f>IF(AND(AD61="Y",C61="5:45 AM",E61="N",L61="Y",K61&lt;&gt;"Y"),COUNTIFS($AD$2:AD61,"Y",$C$2:C61,"5:45 AM",$E$2:E61,"N",$L$2:L61,"Y",$K$2:K61,"&lt;&gt;Y"),"")</f>
        <v/>
      </c>
      <c r="AI61" s="119">
        <f>IF(AND(AD61="Y",E61="N",K61="Y",OR(C61="3:45 AM",C61="5:45 AM")),SUMPRODUCT(($AD$2:AD61="Y")*($E$2:E61="N")*($K$2:K61="Y")*(($C$2:C61="3:45 AM")+($C$2:C61="5:45 AM"))), "")</f>
        <v/>
      </c>
      <c r="AJ61" s="119">
        <f>IF(AND(AD61="Y",C61="3:45 AM",E61="N",J61="Y"),COUNTIFS($AD$2:AD61,"Y",$C$2:C61,"3:45 AM",$E$2:E61,"N",$J$2:J61,"Y"),"")</f>
        <v/>
      </c>
      <c r="AK61" s="119">
        <f>IF(AND(AD61="Y",E61="N",I61="Y",OR(C61="3:45 AM",C61="5:45 AM")),SUMPRODUCT(($AD$2:AD61="Y")*($E$2:E61="N")*($I$2:I61="Y")*(($C$2:C61="3:45 AM")+($C$2:C61="5:45 AM"))), "")</f>
        <v/>
      </c>
      <c r="AL61" s="119">
        <f>IF(AND(AD61="Y",C61="12:15 PM",E61="N",K61&lt;&gt;"Y"),COUNTIFS($AD$2:AD61,"Y",$C$2:C61,"12:15 PM",$E$2:E61,"N",$K$2:K61,"&lt;&gt;Y"),"")</f>
        <v/>
      </c>
      <c r="AM61" s="119">
        <f>IF(AND(AD61="Y",C61="2:00 PM",E61="N",K61&lt;&gt;"Y"),COUNTIFS($AD$2:AD61,"Y",$C$2:C61,"2:00 PM",$E$2:E61,"N",$K$2:K61,"&lt;&gt;Y"),"")</f>
        <v/>
      </c>
      <c r="AN61" s="119">
        <f>IF(AND(AD61="Y",E61="N",K61="Y",OR(C61="12:15 PM",C61="2:00 PM")),SUMPRODUCT(($AD$2:AD61="Y")*($E$2:E61="N")*($K$2:K61="Y")*(($C$2:C61="12:15 PM")+($C$2:C61="2:00 PM"))), "")</f>
        <v/>
      </c>
      <c r="AO61" s="119">
        <f>IF(AND(AD61="Y",C61="12:15 PM",E61="N",L61="Y"),COUNTIFS($AD$2:AD61,"Y",$C$2:C61,"12:15 PM",$E$2:E61,"N",$L$2:L61,"Y"),"")</f>
        <v/>
      </c>
      <c r="AP61" s="119">
        <f>IF(AND(AD61="Y",C61="2:00 PM",E61="N",L61="Y"),COUNTIFS($AD$2:AD61,"Y",$C$2:C61,"2:00 PM",$E$2:E61,"N",$L$2:L61,"Y"),"")</f>
        <v/>
      </c>
    </row>
    <row r="62" ht="14.25" customHeight="1" s="120">
      <c r="A62" s="231" t="inlineStr">
        <is>
          <t>EMP-0064</t>
        </is>
      </c>
      <c r="B62" s="232" t="inlineStr">
        <is>
          <t>Fikre Hadera</t>
        </is>
      </c>
      <c r="C62" s="232" t="inlineStr">
        <is>
          <t>5:45 AM</t>
        </is>
      </c>
      <c r="D62" s="232" t="inlineStr">
        <is>
          <t>Tue, Wed</t>
        </is>
      </c>
      <c r="E62" s="232" t="inlineStr">
        <is>
          <t>N</t>
        </is>
      </c>
      <c r="F62" s="232" t="inlineStr">
        <is>
          <t>N</t>
        </is>
      </c>
      <c r="G62" s="232" t="inlineStr">
        <is>
          <t>Y</t>
        </is>
      </c>
      <c r="H62" s="232" t="inlineStr">
        <is>
          <t>None</t>
        </is>
      </c>
      <c r="I62" s="232" t="inlineStr">
        <is>
          <t>N</t>
        </is>
      </c>
      <c r="J62" s="232" t="inlineStr">
        <is>
          <t>N</t>
        </is>
      </c>
      <c r="K62" s="232" t="inlineStr">
        <is>
          <t>N</t>
        </is>
      </c>
      <c r="L62" s="232" t="inlineStr">
        <is>
          <t>Y</t>
        </is>
      </c>
      <c r="M62" s="232" t="inlineStr">
        <is>
          <t>Standard</t>
        </is>
      </c>
      <c r="N62" s="232" t="n"/>
      <c r="O62" s="232" t="n"/>
      <c r="P62" s="232" t="inlineStr">
        <is>
          <t>N</t>
        </is>
      </c>
      <c r="Q62" s="232" t="n"/>
      <c r="R62" s="232" t="n"/>
      <c r="S62" s="232" t="n"/>
      <c r="T62" s="233" t="inlineStr">
        <is>
          <t>N</t>
        </is>
      </c>
      <c r="U62" s="227">
        <f>IF($B62="","",IF(AND($G62="Y",ISERROR(SEARCH(TEXT('Control Center'!$B$3,"ddd"),TRIM($D62)))),"Y","N"))</f>
        <v/>
      </c>
      <c r="V62" s="227">
        <f>IF($B62="","",IF(AND($U62="Y",OR($C62="3:45 AM",$C62="5:45 AM"),OR('Control Center'!$B$4="N",$K62&lt;&gt;"Y")),"Y","N"))</f>
        <v/>
      </c>
      <c r="W62" s="227">
        <f>IF($B62="","",IF(AND($U62="Y",OR($C62="12:15 PM",$C62="2:00 PM"),OR('Control Center'!$B$5="N",$K62&lt;&gt;"Y")),"Y","N"))</f>
        <v/>
      </c>
      <c r="X62" s="228" t="n"/>
      <c r="Y62" s="229" t="n"/>
      <c r="Z62" s="228" t="n"/>
      <c r="AA62" s="229" t="n"/>
      <c r="AB62" s="230">
        <f>IF($B62="","",IF($P62="Y",IF($Y62="Y","Completed","In Progress"),""))</f>
        <v/>
      </c>
      <c r="AC62" s="119">
        <f>IF($B62="","",IF(COUNTIFS('Approved Absences'!$A$2:$A$200,$B62,'Approved Absences'!$B$2:$B$200,"&lt;="&amp;INT('Control Center'!$B$3),'Approved Absences'!$C$2:$C$200,"&gt;="&amp;INT('Control Center'!$B$3))&gt;0,"Y","N"))</f>
        <v/>
      </c>
      <c r="AD62" s="119">
        <f>IF($B62="","",IF(AND($G62="Y",$AC62&lt;&gt;"Y",ISERROR(SEARCH(TEXT('Control Center'!$B$3,"ddd"),TRIM($D62)))),"Y","N"))</f>
        <v/>
      </c>
      <c r="AE62" s="119">
        <f>IF(AND(AD62="Y",C62="3:45 AM",E62="N",K62&lt;&gt;"Y"),COUNTIFS($AD$2:AD62,"Y",$C$2:C62,"3:45 AM",$E$2:E62,"N",$K$2:K62,"&lt;&gt;Y"),"")</f>
        <v/>
      </c>
      <c r="AF62" s="119">
        <f>IF(AND(AD62="Y",C62="5:45 AM",E62="N",K62&lt;&gt;"Y"),COUNTIFS($AD$2:AD62,"Y",$C$2:C62,"5:45 AM",$E$2:E62,"N",$K$2:K62,"&lt;&gt;Y"),"")</f>
        <v/>
      </c>
      <c r="AG62" s="119">
        <f>IF(AND(AD62="Y",C62="3:45 AM",E62="N",L62="Y",K62&lt;&gt;"Y"),COUNTIFS($AD$2:AD62,"Y",$C$2:C62,"3:45 AM",$E$2:E62,"N",$L$2:L62,"Y",$K$2:K62,"&lt;&gt;Y"),"")</f>
        <v/>
      </c>
      <c r="AH62" s="119">
        <f>IF(AND(AD62="Y",C62="5:45 AM",E62="N",L62="Y",K62&lt;&gt;"Y"),COUNTIFS($AD$2:AD62,"Y",$C$2:C62,"5:45 AM",$E$2:E62,"N",$L$2:L62,"Y",$K$2:K62,"&lt;&gt;Y"),"")</f>
        <v/>
      </c>
      <c r="AI62" s="119">
        <f>IF(AND(AD62="Y",E62="N",K62="Y",OR(C62="3:45 AM",C62="5:45 AM")),SUMPRODUCT(($AD$2:AD62="Y")*($E$2:E62="N")*($K$2:K62="Y")*(($C$2:C62="3:45 AM")+($C$2:C62="5:45 AM"))), "")</f>
        <v/>
      </c>
      <c r="AJ62" s="119">
        <f>IF(AND(AD62="Y",C62="3:45 AM",E62="N",J62="Y"),COUNTIFS($AD$2:AD62,"Y",$C$2:C62,"3:45 AM",$E$2:E62,"N",$J$2:J62,"Y"),"")</f>
        <v/>
      </c>
      <c r="AK62" s="119">
        <f>IF(AND(AD62="Y",E62="N",I62="Y",OR(C62="3:45 AM",C62="5:45 AM")),SUMPRODUCT(($AD$2:AD62="Y")*($E$2:E62="N")*($I$2:I62="Y")*(($C$2:C62="3:45 AM")+($C$2:C62="5:45 AM"))), "")</f>
        <v/>
      </c>
      <c r="AL62" s="119">
        <f>IF(AND(AD62="Y",C62="12:15 PM",E62="N",K62&lt;&gt;"Y"),COUNTIFS($AD$2:AD62,"Y",$C$2:C62,"12:15 PM",$E$2:E62,"N",$K$2:K62,"&lt;&gt;Y"),"")</f>
        <v/>
      </c>
      <c r="AM62" s="119">
        <f>IF(AND(AD62="Y",C62="2:00 PM",E62="N",K62&lt;&gt;"Y"),COUNTIFS($AD$2:AD62,"Y",$C$2:C62,"2:00 PM",$E$2:E62,"N",$K$2:K62,"&lt;&gt;Y"),"")</f>
        <v/>
      </c>
      <c r="AN62" s="119">
        <f>IF(AND(AD62="Y",E62="N",K62="Y",OR(C62="12:15 PM",C62="2:00 PM")),SUMPRODUCT(($AD$2:AD62="Y")*($E$2:E62="N")*($K$2:K62="Y")*(($C$2:C62="12:15 PM")+($C$2:C62="2:00 PM"))), "")</f>
        <v/>
      </c>
      <c r="AO62" s="119">
        <f>IF(AND(AD62="Y",C62="12:15 PM",E62="N",L62="Y"),COUNTIFS($AD$2:AD62,"Y",$C$2:C62,"12:15 PM",$E$2:E62,"N",$L$2:L62,"Y"),"")</f>
        <v/>
      </c>
      <c r="AP62" s="119">
        <f>IF(AND(AD62="Y",C62="2:00 PM",E62="N",L62="Y"),COUNTIFS($AD$2:AD62,"Y",$C$2:C62,"2:00 PM",$E$2:E62,"N",$L$2:L62,"Y"),"")</f>
        <v/>
      </c>
    </row>
    <row r="63" ht="14.25" customHeight="1" s="120">
      <c r="A63" s="231" t="inlineStr">
        <is>
          <t>EMP-0065</t>
        </is>
      </c>
      <c r="B63" s="232" t="inlineStr">
        <is>
          <t>Gregory Mallett</t>
        </is>
      </c>
      <c r="C63" s="232" t="inlineStr">
        <is>
          <t>5:45 AM</t>
        </is>
      </c>
      <c r="D63" s="232" t="inlineStr">
        <is>
          <t>Sun, Mon</t>
        </is>
      </c>
      <c r="E63" s="232" t="inlineStr">
        <is>
          <t>N</t>
        </is>
      </c>
      <c r="F63" s="232" t="inlineStr">
        <is>
          <t>N</t>
        </is>
      </c>
      <c r="G63" s="232" t="inlineStr">
        <is>
          <t>Y</t>
        </is>
      </c>
      <c r="H63" s="232" t="inlineStr">
        <is>
          <t>None</t>
        </is>
      </c>
      <c r="I63" s="232" t="inlineStr">
        <is>
          <t>N</t>
        </is>
      </c>
      <c r="J63" s="232" t="inlineStr">
        <is>
          <t>N</t>
        </is>
      </c>
      <c r="K63" s="232" t="inlineStr">
        <is>
          <t>N</t>
        </is>
      </c>
      <c r="L63" s="232" t="inlineStr">
        <is>
          <t>N</t>
        </is>
      </c>
      <c r="M63" s="232" t="inlineStr">
        <is>
          <t>Standard</t>
        </is>
      </c>
      <c r="N63" s="232" t="n"/>
      <c r="O63" s="232" t="n"/>
      <c r="P63" s="232" t="inlineStr">
        <is>
          <t>N</t>
        </is>
      </c>
      <c r="Q63" s="232" t="n"/>
      <c r="R63" s="232" t="n"/>
      <c r="S63" s="232" t="n"/>
      <c r="T63" s="233" t="inlineStr">
        <is>
          <t>Y</t>
        </is>
      </c>
      <c r="U63" s="227">
        <f>IF($B63="","",IF(AND($G63="Y",ISERROR(SEARCH(TEXT('Control Center'!$B$3,"ddd"),TRIM($D63)))),"Y","N"))</f>
        <v/>
      </c>
      <c r="V63" s="227">
        <f>IF($B63="","",IF(AND($U63="Y",OR($C63="3:45 AM",$C63="5:45 AM"),OR('Control Center'!$B$4="N",$K63&lt;&gt;"Y")),"Y","N"))</f>
        <v/>
      </c>
      <c r="W63" s="227">
        <f>IF($B63="","",IF(AND($U63="Y",OR($C63="12:15 PM",$C63="2:00 PM"),OR('Control Center'!$B$5="N",$K63&lt;&gt;"Y")),"Y","N"))</f>
        <v/>
      </c>
      <c r="X63" s="228" t="n"/>
      <c r="Y63" s="229" t="n"/>
      <c r="Z63" s="228" t="n"/>
      <c r="AA63" s="229" t="n"/>
      <c r="AB63" s="230">
        <f>IF($B63="","",IF($P63="Y",IF($Y63="Y","Completed","In Progress"),""))</f>
        <v/>
      </c>
      <c r="AC63" s="119">
        <f>IF($B63="","",IF(COUNTIFS('Approved Absences'!$A$2:$A$200,$B63,'Approved Absences'!$B$2:$B$200,"&lt;="&amp;INT('Control Center'!$B$3),'Approved Absences'!$C$2:$C$200,"&gt;="&amp;INT('Control Center'!$B$3))&gt;0,"Y","N"))</f>
        <v/>
      </c>
      <c r="AD63" s="119">
        <f>IF($B63="","",IF(AND($G63="Y",$AC63&lt;&gt;"Y",ISERROR(SEARCH(TEXT('Control Center'!$B$3,"ddd"),TRIM($D63)))),"Y","N"))</f>
        <v/>
      </c>
      <c r="AE63" s="119">
        <f>IF(AND(AD63="Y",C63="3:45 AM",E63="N",K63&lt;&gt;"Y"),COUNTIFS($AD$2:AD63,"Y",$C$2:C63,"3:45 AM",$E$2:E63,"N",$K$2:K63,"&lt;&gt;Y"),"")</f>
        <v/>
      </c>
      <c r="AF63" s="119">
        <f>IF(AND(AD63="Y",C63="5:45 AM",E63="N",K63&lt;&gt;"Y"),COUNTIFS($AD$2:AD63,"Y",$C$2:C63,"5:45 AM",$E$2:E63,"N",$K$2:K63,"&lt;&gt;Y"),"")</f>
        <v/>
      </c>
      <c r="AG63" s="119">
        <f>IF(AND(AD63="Y",C63="3:45 AM",E63="N",L63="Y",K63&lt;&gt;"Y"),COUNTIFS($AD$2:AD63,"Y",$C$2:C63,"3:45 AM",$E$2:E63,"N",$L$2:L63,"Y",$K$2:K63,"&lt;&gt;Y"),"")</f>
        <v/>
      </c>
      <c r="AH63" s="119">
        <f>IF(AND(AD63="Y",C63="5:45 AM",E63="N",L63="Y",K63&lt;&gt;"Y"),COUNTIFS($AD$2:AD63,"Y",$C$2:C63,"5:45 AM",$E$2:E63,"N",$L$2:L63,"Y",$K$2:K63,"&lt;&gt;Y"),"")</f>
        <v/>
      </c>
      <c r="AI63" s="119">
        <f>IF(AND(AD63="Y",E63="N",K63="Y",OR(C63="3:45 AM",C63="5:45 AM")),SUMPRODUCT(($AD$2:AD63="Y")*($E$2:E63="N")*($K$2:K63="Y")*(($C$2:C63="3:45 AM")+($C$2:C63="5:45 AM"))), "")</f>
        <v/>
      </c>
      <c r="AJ63" s="119">
        <f>IF(AND(AD63="Y",C63="3:45 AM",E63="N",J63="Y"),COUNTIFS($AD$2:AD63,"Y",$C$2:C63,"3:45 AM",$E$2:E63,"N",$J$2:J63,"Y"),"")</f>
        <v/>
      </c>
      <c r="AK63" s="119">
        <f>IF(AND(AD63="Y",E63="N",I63="Y",OR(C63="3:45 AM",C63="5:45 AM")),SUMPRODUCT(($AD$2:AD63="Y")*($E$2:E63="N")*($I$2:I63="Y")*(($C$2:C63="3:45 AM")+($C$2:C63="5:45 AM"))), "")</f>
        <v/>
      </c>
      <c r="AL63" s="119">
        <f>IF(AND(AD63="Y",C63="12:15 PM",E63="N",K63&lt;&gt;"Y"),COUNTIFS($AD$2:AD63,"Y",$C$2:C63,"12:15 PM",$E$2:E63,"N",$K$2:K63,"&lt;&gt;Y"),"")</f>
        <v/>
      </c>
      <c r="AM63" s="119">
        <f>IF(AND(AD63="Y",C63="2:00 PM",E63="N",K63&lt;&gt;"Y"),COUNTIFS($AD$2:AD63,"Y",$C$2:C63,"2:00 PM",$E$2:E63,"N",$K$2:K63,"&lt;&gt;Y"),"")</f>
        <v/>
      </c>
      <c r="AN63" s="119">
        <f>IF(AND(AD63="Y",E63="N",K63="Y",OR(C63="12:15 PM",C63="2:00 PM")),SUMPRODUCT(($AD$2:AD63="Y")*($E$2:E63="N")*($K$2:K63="Y")*(($C$2:C63="12:15 PM")+($C$2:C63="2:00 PM"))), "")</f>
        <v/>
      </c>
      <c r="AO63" s="119">
        <f>IF(AND(AD63="Y",C63="12:15 PM",E63="N",L63="Y"),COUNTIFS($AD$2:AD63,"Y",$C$2:C63,"12:15 PM",$E$2:E63,"N",$L$2:L63,"Y"),"")</f>
        <v/>
      </c>
      <c r="AP63" s="119">
        <f>IF(AND(AD63="Y",C63="2:00 PM",E63="N",L63="Y"),COUNTIFS($AD$2:AD63,"Y",$C$2:C63,"2:00 PM",$E$2:E63,"N",$L$2:L63,"Y"),"")</f>
        <v/>
      </c>
    </row>
    <row r="64" ht="14.25" customHeight="1" s="120">
      <c r="A64" s="231" t="inlineStr">
        <is>
          <t>EMP-0066</t>
        </is>
      </c>
      <c r="B64" s="232" t="inlineStr">
        <is>
          <t>Habtewold Daba</t>
        </is>
      </c>
      <c r="C64" s="232" t="inlineStr">
        <is>
          <t>5:45 AM</t>
        </is>
      </c>
      <c r="D64" s="232" t="inlineStr">
        <is>
          <t>Fri, Sat</t>
        </is>
      </c>
      <c r="E64" s="232" t="inlineStr">
        <is>
          <t>N</t>
        </is>
      </c>
      <c r="F64" s="232" t="inlineStr">
        <is>
          <t>N</t>
        </is>
      </c>
      <c r="G64" s="232" t="inlineStr">
        <is>
          <t>Y</t>
        </is>
      </c>
      <c r="H64" s="232" t="inlineStr">
        <is>
          <t>None</t>
        </is>
      </c>
      <c r="I64" s="232" t="inlineStr">
        <is>
          <t>N</t>
        </is>
      </c>
      <c r="J64" s="232" t="inlineStr">
        <is>
          <t>N</t>
        </is>
      </c>
      <c r="K64" s="232" t="inlineStr">
        <is>
          <t>N</t>
        </is>
      </c>
      <c r="L64" s="232" t="inlineStr">
        <is>
          <t>Y</t>
        </is>
      </c>
      <c r="M64" s="232" t="inlineStr">
        <is>
          <t>Standard</t>
        </is>
      </c>
      <c r="N64" s="232" t="n"/>
      <c r="O64" s="232" t="n"/>
      <c r="P64" s="232" t="inlineStr">
        <is>
          <t>N</t>
        </is>
      </c>
      <c r="Q64" s="232" t="n"/>
      <c r="R64" s="232" t="n"/>
      <c r="S64" s="232" t="n"/>
      <c r="T64" s="233" t="inlineStr">
        <is>
          <t>N</t>
        </is>
      </c>
      <c r="U64" s="227">
        <f>IF($B64="","",IF(AND($G64="Y",ISERROR(SEARCH(TEXT('Control Center'!$B$3,"ddd"),TRIM($D64)))),"Y","N"))</f>
        <v/>
      </c>
      <c r="V64" s="227">
        <f>IF($B64="","",IF(AND($U64="Y",OR($C64="3:45 AM",$C64="5:45 AM"),OR('Control Center'!$B$4="N",$K64&lt;&gt;"Y")),"Y","N"))</f>
        <v/>
      </c>
      <c r="W64" s="227">
        <f>IF($B64="","",IF(AND($U64="Y",OR($C64="12:15 PM",$C64="2:00 PM"),OR('Control Center'!$B$5="N",$K64&lt;&gt;"Y")),"Y","N"))</f>
        <v/>
      </c>
      <c r="X64" s="228" t="n"/>
      <c r="Y64" s="229" t="n"/>
      <c r="Z64" s="228" t="n"/>
      <c r="AA64" s="229" t="n"/>
      <c r="AB64" s="230">
        <f>IF($B64="","",IF($P64="Y",IF($Y64="Y","Completed","In Progress"),""))</f>
        <v/>
      </c>
      <c r="AC64" s="119">
        <f>IF($B64="","",IF(COUNTIFS('Approved Absences'!$A$2:$A$200,$B64,'Approved Absences'!$B$2:$B$200,"&lt;="&amp;INT('Control Center'!$B$3),'Approved Absences'!$C$2:$C$200,"&gt;="&amp;INT('Control Center'!$B$3))&gt;0,"Y","N"))</f>
        <v/>
      </c>
      <c r="AD64" s="119">
        <f>IF($B64="","",IF(AND($G64="Y",$AC64&lt;&gt;"Y",ISERROR(SEARCH(TEXT('Control Center'!$B$3,"ddd"),TRIM($D64)))),"Y","N"))</f>
        <v/>
      </c>
      <c r="AE64" s="119">
        <f>IF(AND(AD64="Y",C64="3:45 AM",E64="N",K64&lt;&gt;"Y"),COUNTIFS($AD$2:AD64,"Y",$C$2:C64,"3:45 AM",$E$2:E64,"N",$K$2:K64,"&lt;&gt;Y"),"")</f>
        <v/>
      </c>
      <c r="AF64" s="119">
        <f>IF(AND(AD64="Y",C64="5:45 AM",E64="N",K64&lt;&gt;"Y"),COUNTIFS($AD$2:AD64,"Y",$C$2:C64,"5:45 AM",$E$2:E64,"N",$K$2:K64,"&lt;&gt;Y"),"")</f>
        <v/>
      </c>
      <c r="AG64" s="119">
        <f>IF(AND(AD64="Y",C64="3:45 AM",E64="N",L64="Y",K64&lt;&gt;"Y"),COUNTIFS($AD$2:AD64,"Y",$C$2:C64,"3:45 AM",$E$2:E64,"N",$L$2:L64,"Y",$K$2:K64,"&lt;&gt;Y"),"")</f>
        <v/>
      </c>
      <c r="AH64" s="119">
        <f>IF(AND(AD64="Y",C64="5:45 AM",E64="N",L64="Y",K64&lt;&gt;"Y"),COUNTIFS($AD$2:AD64,"Y",$C$2:C64,"5:45 AM",$E$2:E64,"N",$L$2:L64,"Y",$K$2:K64,"&lt;&gt;Y"),"")</f>
        <v/>
      </c>
      <c r="AI64" s="119">
        <f>IF(AND(AD64="Y",E64="N",K64="Y",OR(C64="3:45 AM",C64="5:45 AM")),SUMPRODUCT(($AD$2:AD64="Y")*($E$2:E64="N")*($K$2:K64="Y")*(($C$2:C64="3:45 AM")+($C$2:C64="5:45 AM"))), "")</f>
        <v/>
      </c>
      <c r="AJ64" s="119">
        <f>IF(AND(AD64="Y",C64="3:45 AM",E64="N",J64="Y"),COUNTIFS($AD$2:AD64,"Y",$C$2:C64,"3:45 AM",$E$2:E64,"N",$J$2:J64,"Y"),"")</f>
        <v/>
      </c>
      <c r="AK64" s="119">
        <f>IF(AND(AD64="Y",E64="N",I64="Y",OR(C64="3:45 AM",C64="5:45 AM")),SUMPRODUCT(($AD$2:AD64="Y")*($E$2:E64="N")*($I$2:I64="Y")*(($C$2:C64="3:45 AM")+($C$2:C64="5:45 AM"))), "")</f>
        <v/>
      </c>
      <c r="AL64" s="119">
        <f>IF(AND(AD64="Y",C64="12:15 PM",E64="N",K64&lt;&gt;"Y"),COUNTIFS($AD$2:AD64,"Y",$C$2:C64,"12:15 PM",$E$2:E64,"N",$K$2:K64,"&lt;&gt;Y"),"")</f>
        <v/>
      </c>
      <c r="AM64" s="119">
        <f>IF(AND(AD64="Y",C64="2:00 PM",E64="N",K64&lt;&gt;"Y"),COUNTIFS($AD$2:AD64,"Y",$C$2:C64,"2:00 PM",$E$2:E64,"N",$K$2:K64,"&lt;&gt;Y"),"")</f>
        <v/>
      </c>
      <c r="AN64" s="119">
        <f>IF(AND(AD64="Y",E64="N",K64="Y",OR(C64="12:15 PM",C64="2:00 PM")),SUMPRODUCT(($AD$2:AD64="Y")*($E$2:E64="N")*($K$2:K64="Y")*(($C$2:C64="12:15 PM")+($C$2:C64="2:00 PM"))), "")</f>
        <v/>
      </c>
      <c r="AO64" s="119">
        <f>IF(AND(AD64="Y",C64="12:15 PM",E64="N",L64="Y"),COUNTIFS($AD$2:AD64,"Y",$C$2:C64,"12:15 PM",$E$2:E64,"N",$L$2:L64,"Y"),"")</f>
        <v/>
      </c>
      <c r="AP64" s="119">
        <f>IF(AND(AD64="Y",C64="2:00 PM",E64="N",L64="Y"),COUNTIFS($AD$2:AD64,"Y",$C$2:C64,"2:00 PM",$E$2:E64,"N",$L$2:L64,"Y"),"")</f>
        <v/>
      </c>
    </row>
    <row r="65" ht="14.25" customHeight="1" s="120">
      <c r="A65" s="231" t="inlineStr">
        <is>
          <t>EMP-0067</t>
        </is>
      </c>
      <c r="B65" s="232" t="inlineStr">
        <is>
          <t>Haddyjatou Ndure</t>
        </is>
      </c>
      <c r="C65" s="232" t="inlineStr">
        <is>
          <t>3:45 AM</t>
        </is>
      </c>
      <c r="D65" s="232" t="inlineStr">
        <is>
          <t>Sun, Mon</t>
        </is>
      </c>
      <c r="E65" s="232" t="inlineStr">
        <is>
          <t>N</t>
        </is>
      </c>
      <c r="F65" s="232" t="inlineStr">
        <is>
          <t>N</t>
        </is>
      </c>
      <c r="G65" s="232" t="inlineStr">
        <is>
          <t>Y</t>
        </is>
      </c>
      <c r="H65" s="232" t="inlineStr">
        <is>
          <t>None</t>
        </is>
      </c>
      <c r="I65" s="232" t="inlineStr">
        <is>
          <t>N</t>
        </is>
      </c>
      <c r="J65" s="232" t="inlineStr">
        <is>
          <t>N</t>
        </is>
      </c>
      <c r="K65" s="232" t="inlineStr">
        <is>
          <t>N</t>
        </is>
      </c>
      <c r="L65" s="232" t="inlineStr">
        <is>
          <t>N</t>
        </is>
      </c>
      <c r="M65" s="232" t="inlineStr">
        <is>
          <t>Standard</t>
        </is>
      </c>
      <c r="N65" s="232" t="n"/>
      <c r="O65" s="232" t="n"/>
      <c r="P65" s="232" t="inlineStr">
        <is>
          <t>N</t>
        </is>
      </c>
      <c r="Q65" s="232" t="n"/>
      <c r="R65" s="232" t="n"/>
      <c r="S65" s="232" t="n"/>
      <c r="T65" s="233" t="inlineStr">
        <is>
          <t>N</t>
        </is>
      </c>
      <c r="U65" s="227">
        <f>IF($B65="","",IF(AND($G65="Y",ISERROR(SEARCH(TEXT('Control Center'!$B$3,"ddd"),TRIM($D65)))),"Y","N"))</f>
        <v/>
      </c>
      <c r="V65" s="227">
        <f>IF($B65="","",IF(AND($U65="Y",OR($C65="3:45 AM",$C65="5:45 AM"),OR('Control Center'!$B$4="N",$K65&lt;&gt;"Y")),"Y","N"))</f>
        <v/>
      </c>
      <c r="W65" s="227">
        <f>IF($B65="","",IF(AND($U65="Y",OR($C65="12:15 PM",$C65="2:00 PM"),OR('Control Center'!$B$5="N",$K65&lt;&gt;"Y")),"Y","N"))</f>
        <v/>
      </c>
      <c r="X65" s="228" t="n"/>
      <c r="Y65" s="229" t="n"/>
      <c r="Z65" s="228" t="n"/>
      <c r="AA65" s="229" t="n"/>
      <c r="AB65" s="230">
        <f>IF($B65="","",IF($P65="Y",IF($Y65="Y","Completed","In Progress"),""))</f>
        <v/>
      </c>
      <c r="AC65" s="119">
        <f>IF($B65="","",IF(COUNTIFS('Approved Absences'!$A$2:$A$200,$B65,'Approved Absences'!$B$2:$B$200,"&lt;="&amp;INT('Control Center'!$B$3),'Approved Absences'!$C$2:$C$200,"&gt;="&amp;INT('Control Center'!$B$3))&gt;0,"Y","N"))</f>
        <v/>
      </c>
      <c r="AD65" s="119">
        <f>IF($B65="","",IF(AND($G65="Y",$AC65&lt;&gt;"Y",ISERROR(SEARCH(TEXT('Control Center'!$B$3,"ddd"),TRIM($D65)))),"Y","N"))</f>
        <v/>
      </c>
      <c r="AE65" s="119">
        <f>IF(AND(AD65="Y",C65="3:45 AM",E65="N",K65&lt;&gt;"Y"),COUNTIFS($AD$2:AD65,"Y",$C$2:C65,"3:45 AM",$E$2:E65,"N",$K$2:K65,"&lt;&gt;Y"),"")</f>
        <v/>
      </c>
      <c r="AF65" s="119">
        <f>IF(AND(AD65="Y",C65="5:45 AM",E65="N",K65&lt;&gt;"Y"),COUNTIFS($AD$2:AD65,"Y",$C$2:C65,"5:45 AM",$E$2:E65,"N",$K$2:K65,"&lt;&gt;Y"),"")</f>
        <v/>
      </c>
      <c r="AG65" s="119">
        <f>IF(AND(AD65="Y",C65="3:45 AM",E65="N",L65="Y",K65&lt;&gt;"Y"),COUNTIFS($AD$2:AD65,"Y",$C$2:C65,"3:45 AM",$E$2:E65,"N",$L$2:L65,"Y",$K$2:K65,"&lt;&gt;Y"),"")</f>
        <v/>
      </c>
      <c r="AH65" s="119">
        <f>IF(AND(AD65="Y",C65="5:45 AM",E65="N",L65="Y",K65&lt;&gt;"Y"),COUNTIFS($AD$2:AD65,"Y",$C$2:C65,"5:45 AM",$E$2:E65,"N",$L$2:L65,"Y",$K$2:K65,"&lt;&gt;Y"),"")</f>
        <v/>
      </c>
      <c r="AI65" s="119">
        <f>IF(AND(AD65="Y",E65="N",K65="Y",OR(C65="3:45 AM",C65="5:45 AM")),SUMPRODUCT(($AD$2:AD65="Y")*($E$2:E65="N")*($K$2:K65="Y")*(($C$2:C65="3:45 AM")+($C$2:C65="5:45 AM"))), "")</f>
        <v/>
      </c>
      <c r="AJ65" s="119">
        <f>IF(AND(AD65="Y",C65="3:45 AM",E65="N",J65="Y"),COUNTIFS($AD$2:AD65,"Y",$C$2:C65,"3:45 AM",$E$2:E65,"N",$J$2:J65,"Y"),"")</f>
        <v/>
      </c>
      <c r="AK65" s="119">
        <f>IF(AND(AD65="Y",E65="N",I65="Y",OR(C65="3:45 AM",C65="5:45 AM")),SUMPRODUCT(($AD$2:AD65="Y")*($E$2:E65="N")*($I$2:I65="Y")*(($C$2:C65="3:45 AM")+($C$2:C65="5:45 AM"))), "")</f>
        <v/>
      </c>
      <c r="AL65" s="119">
        <f>IF(AND(AD65="Y",C65="12:15 PM",E65="N",K65&lt;&gt;"Y"),COUNTIFS($AD$2:AD65,"Y",$C$2:C65,"12:15 PM",$E$2:E65,"N",$K$2:K65,"&lt;&gt;Y"),"")</f>
        <v/>
      </c>
      <c r="AM65" s="119">
        <f>IF(AND(AD65="Y",C65="2:00 PM",E65="N",K65&lt;&gt;"Y"),COUNTIFS($AD$2:AD65,"Y",$C$2:C65,"2:00 PM",$E$2:E65,"N",$K$2:K65,"&lt;&gt;Y"),"")</f>
        <v/>
      </c>
      <c r="AN65" s="119">
        <f>IF(AND(AD65="Y",E65="N",K65="Y",OR(C65="12:15 PM",C65="2:00 PM")),SUMPRODUCT(($AD$2:AD65="Y")*($E$2:E65="N")*($K$2:K65="Y")*(($C$2:C65="12:15 PM")+($C$2:C65="2:00 PM"))), "")</f>
        <v/>
      </c>
      <c r="AO65" s="119">
        <f>IF(AND(AD65="Y",C65="12:15 PM",E65="N",L65="Y"),COUNTIFS($AD$2:AD65,"Y",$C$2:C65,"12:15 PM",$E$2:E65,"N",$L$2:L65,"Y"),"")</f>
        <v/>
      </c>
      <c r="AP65" s="119">
        <f>IF(AND(AD65="Y",C65="2:00 PM",E65="N",L65="Y"),COUNTIFS($AD$2:AD65,"Y",$C$2:C65,"2:00 PM",$E$2:E65,"N",$L$2:L65,"Y"),"")</f>
        <v/>
      </c>
    </row>
    <row r="66" ht="14.25" customHeight="1" s="120">
      <c r="A66" s="231" t="inlineStr">
        <is>
          <t>EMP-0068</t>
        </is>
      </c>
      <c r="B66" s="232" t="inlineStr">
        <is>
          <t>Heather Wray</t>
        </is>
      </c>
      <c r="C66" s="232" t="inlineStr">
        <is>
          <t>2:00 PM</t>
        </is>
      </c>
      <c r="D66" s="232" t="inlineStr">
        <is>
          <t>Sat, Sun</t>
        </is>
      </c>
      <c r="E66" s="232" t="inlineStr">
        <is>
          <t>N</t>
        </is>
      </c>
      <c r="F66" s="232" t="inlineStr">
        <is>
          <t>N</t>
        </is>
      </c>
      <c r="G66" s="232" t="inlineStr">
        <is>
          <t>Y</t>
        </is>
      </c>
      <c r="H66" s="232" t="inlineStr">
        <is>
          <t>7:00 PM</t>
        </is>
      </c>
      <c r="I66" s="232" t="inlineStr">
        <is>
          <t>Y</t>
        </is>
      </c>
      <c r="J66" s="232" t="inlineStr">
        <is>
          <t>N</t>
        </is>
      </c>
      <c r="K66" s="232" t="inlineStr">
        <is>
          <t>N</t>
        </is>
      </c>
      <c r="L66" s="232" t="inlineStr">
        <is>
          <t>Y</t>
        </is>
      </c>
      <c r="M66" s="232" t="inlineStr">
        <is>
          <t>Standard</t>
        </is>
      </c>
      <c r="N66" s="232" t="n"/>
      <c r="O66" s="232" t="n"/>
      <c r="P66" s="232" t="inlineStr">
        <is>
          <t>N</t>
        </is>
      </c>
      <c r="Q66" s="232" t="n"/>
      <c r="R66" s="232" t="n"/>
      <c r="S66" s="232" t="n"/>
      <c r="T66" s="233" t="inlineStr">
        <is>
          <t>N</t>
        </is>
      </c>
      <c r="U66" s="227">
        <f>IF($B66="","",IF(AND($G66="Y",ISERROR(SEARCH(TEXT('Control Center'!$B$3,"ddd"),TRIM($D66)))),"Y","N"))</f>
        <v/>
      </c>
      <c r="V66" s="227">
        <f>IF($B66="","",IF(AND($U66="Y",OR($C66="3:45 AM",$C66="5:45 AM"),OR('Control Center'!$B$4="N",$K66&lt;&gt;"Y")),"Y","N"))</f>
        <v/>
      </c>
      <c r="W66" s="227">
        <f>IF($B66="","",IF(AND($U66="Y",OR($C66="12:15 PM",$C66="2:00 PM"),OR('Control Center'!$B$5="N",$K66&lt;&gt;"Y")),"Y","N"))</f>
        <v/>
      </c>
      <c r="X66" s="228" t="n"/>
      <c r="Y66" s="229" t="n"/>
      <c r="Z66" s="228" t="n"/>
      <c r="AA66" s="229" t="n"/>
      <c r="AB66" s="230">
        <f>IF($B66="","",IF($P66="Y",IF($Y66="Y","Completed","In Progress"),""))</f>
        <v/>
      </c>
      <c r="AC66" s="119">
        <f>IF($B66="","",IF(COUNTIFS('Approved Absences'!$A$2:$A$200,$B66,'Approved Absences'!$B$2:$B$200,"&lt;="&amp;INT('Control Center'!$B$3),'Approved Absences'!$C$2:$C$200,"&gt;="&amp;INT('Control Center'!$B$3))&gt;0,"Y","N"))</f>
        <v/>
      </c>
      <c r="AD66" s="119">
        <f>IF($B66="","",IF(AND($G66="Y",$AC66&lt;&gt;"Y",ISERROR(SEARCH(TEXT('Control Center'!$B$3,"ddd"),TRIM($D66)))),"Y","N"))</f>
        <v/>
      </c>
      <c r="AE66" s="119">
        <f>IF(AND(AD66="Y",C66="3:45 AM",E66="N",K66&lt;&gt;"Y"),COUNTIFS($AD$2:AD66,"Y",$C$2:C66,"3:45 AM",$E$2:E66,"N",$K$2:K66,"&lt;&gt;Y"),"")</f>
        <v/>
      </c>
      <c r="AF66" s="119">
        <f>IF(AND(AD66="Y",C66="5:45 AM",E66="N",K66&lt;&gt;"Y"),COUNTIFS($AD$2:AD66,"Y",$C$2:C66,"5:45 AM",$E$2:E66,"N",$K$2:K66,"&lt;&gt;Y"),"")</f>
        <v/>
      </c>
      <c r="AG66" s="119">
        <f>IF(AND(AD66="Y",C66="3:45 AM",E66="N",L66="Y",K66&lt;&gt;"Y"),COUNTIFS($AD$2:AD66,"Y",$C$2:C66,"3:45 AM",$E$2:E66,"N",$L$2:L66,"Y",$K$2:K66,"&lt;&gt;Y"),"")</f>
        <v/>
      </c>
      <c r="AH66" s="119">
        <f>IF(AND(AD66="Y",C66="5:45 AM",E66="N",L66="Y",K66&lt;&gt;"Y"),COUNTIFS($AD$2:AD66,"Y",$C$2:C66,"5:45 AM",$E$2:E66,"N",$L$2:L66,"Y",$K$2:K66,"&lt;&gt;Y"),"")</f>
        <v/>
      </c>
      <c r="AI66" s="119">
        <f>IF(AND(AD66="Y",E66="N",K66="Y",OR(C66="3:45 AM",C66="5:45 AM")),SUMPRODUCT(($AD$2:AD66="Y")*($E$2:E66="N")*($K$2:K66="Y")*(($C$2:C66="3:45 AM")+($C$2:C66="5:45 AM"))), "")</f>
        <v/>
      </c>
      <c r="AJ66" s="119">
        <f>IF(AND(AD66="Y",C66="3:45 AM",E66="N",J66="Y"),COUNTIFS($AD$2:AD66,"Y",$C$2:C66,"3:45 AM",$E$2:E66,"N",$J$2:J66,"Y"),"")</f>
        <v/>
      </c>
      <c r="AK66" s="119">
        <f>IF(AND(AD66="Y",E66="N",I66="Y",OR(C66="3:45 AM",C66="5:45 AM")),SUMPRODUCT(($AD$2:AD66="Y")*($E$2:E66="N")*($I$2:I66="Y")*(($C$2:C66="3:45 AM")+($C$2:C66="5:45 AM"))), "")</f>
        <v/>
      </c>
      <c r="AL66" s="119">
        <f>IF(AND(AD66="Y",C66="12:15 PM",E66="N",K66&lt;&gt;"Y"),COUNTIFS($AD$2:AD66,"Y",$C$2:C66,"12:15 PM",$E$2:E66,"N",$K$2:K66,"&lt;&gt;Y"),"")</f>
        <v/>
      </c>
      <c r="AM66" s="119">
        <f>IF(AND(AD66="Y",C66="2:00 PM",E66="N",K66&lt;&gt;"Y"),COUNTIFS($AD$2:AD66,"Y",$C$2:C66,"2:00 PM",$E$2:E66,"N",$K$2:K66,"&lt;&gt;Y"),"")</f>
        <v/>
      </c>
      <c r="AN66" s="119">
        <f>IF(AND(AD66="Y",E66="N",K66="Y",OR(C66="12:15 PM",C66="2:00 PM")),SUMPRODUCT(($AD$2:AD66="Y")*($E$2:E66="N")*($K$2:K66="Y")*(($C$2:C66="12:15 PM")+($C$2:C66="2:00 PM"))), "")</f>
        <v/>
      </c>
      <c r="AO66" s="119">
        <f>IF(AND(AD66="Y",C66="12:15 PM",E66="N",L66="Y"),COUNTIFS($AD$2:AD66,"Y",$C$2:C66,"12:15 PM",$E$2:E66,"N",$L$2:L66,"Y"),"")</f>
        <v/>
      </c>
      <c r="AP66" s="119">
        <f>IF(AND(AD66="Y",C66="2:00 PM",E66="N",L66="Y"),COUNTIFS($AD$2:AD66,"Y",$C$2:C66,"2:00 PM",$E$2:E66,"N",$L$2:L66,"Y"),"")</f>
        <v/>
      </c>
    </row>
    <row r="67" ht="14.25" customHeight="1" s="120">
      <c r="A67" s="231" t="inlineStr">
        <is>
          <t>EMP-0069</t>
        </is>
      </c>
      <c r="B67" s="232" t="inlineStr">
        <is>
          <t>Heavyn Moore</t>
        </is>
      </c>
      <c r="C67" s="232" t="inlineStr">
        <is>
          <t>12:15 PM</t>
        </is>
      </c>
      <c r="D67" s="232" t="inlineStr">
        <is>
          <t>Mon, Tue</t>
        </is>
      </c>
      <c r="E67" s="232" t="inlineStr">
        <is>
          <t>N</t>
        </is>
      </c>
      <c r="F67" s="232" t="inlineStr">
        <is>
          <t>Y</t>
        </is>
      </c>
      <c r="G67" s="232" t="inlineStr">
        <is>
          <t>Y</t>
        </is>
      </c>
      <c r="H67" s="232" t="inlineStr">
        <is>
          <t>None</t>
        </is>
      </c>
      <c r="I67" s="232" t="inlineStr">
        <is>
          <t>Y</t>
        </is>
      </c>
      <c r="J67" s="232" t="inlineStr">
        <is>
          <t>Y</t>
        </is>
      </c>
      <c r="K67" s="232" t="inlineStr">
        <is>
          <t>N</t>
        </is>
      </c>
      <c r="L67" s="232" t="inlineStr">
        <is>
          <t>Y</t>
        </is>
      </c>
      <c r="M67" s="232" t="inlineStr">
        <is>
          <t>Standard</t>
        </is>
      </c>
      <c r="N67" s="232" t="n"/>
      <c r="O67" s="232" t="n"/>
      <c r="P67" s="232" t="inlineStr">
        <is>
          <t>N</t>
        </is>
      </c>
      <c r="Q67" s="232" t="n"/>
      <c r="R67" s="232" t="n"/>
      <c r="S67" s="232" t="n"/>
      <c r="T67" s="233" t="inlineStr">
        <is>
          <t>N</t>
        </is>
      </c>
      <c r="U67" s="227">
        <f>IF($B67="","",IF(AND($G67="Y",ISERROR(SEARCH(TEXT('Control Center'!$B$3,"ddd"),TRIM($D67)))),"Y","N"))</f>
        <v/>
      </c>
      <c r="V67" s="227">
        <f>IF($B67="","",IF(AND($U67="Y",OR($C67="3:45 AM",$C67="5:45 AM"),OR('Control Center'!$B$4="N",$K67&lt;&gt;"Y")),"Y","N"))</f>
        <v/>
      </c>
      <c r="W67" s="227">
        <f>IF($B67="","",IF(AND($U67="Y",OR($C67="12:15 PM",$C67="2:00 PM"),OR('Control Center'!$B$5="N",$K67&lt;&gt;"Y")),"Y","N"))</f>
        <v/>
      </c>
      <c r="X67" s="228" t="n"/>
      <c r="Y67" s="229" t="n"/>
      <c r="Z67" s="228" t="n"/>
      <c r="AA67" s="229" t="n"/>
      <c r="AB67" s="230">
        <f>IF($B67="","",IF($P67="Y",IF($Y67="Y","Completed","In Progress"),""))</f>
        <v/>
      </c>
      <c r="AC67" s="119">
        <f>IF($B67="","",IF(COUNTIFS('Approved Absences'!$A$2:$A$200,$B67,'Approved Absences'!$B$2:$B$200,"&lt;="&amp;INT('Control Center'!$B$3),'Approved Absences'!$C$2:$C$200,"&gt;="&amp;INT('Control Center'!$B$3))&gt;0,"Y","N"))</f>
        <v/>
      </c>
      <c r="AD67" s="119">
        <f>IF($B67="","",IF(AND($G67="Y",$AC67&lt;&gt;"Y",ISERROR(SEARCH(TEXT('Control Center'!$B$3,"ddd"),TRIM($D67)))),"Y","N"))</f>
        <v/>
      </c>
      <c r="AE67" s="119">
        <f>IF(AND(AD67="Y",C67="3:45 AM",E67="N",K67&lt;&gt;"Y"),COUNTIFS($AD$2:AD67,"Y",$C$2:C67,"3:45 AM",$E$2:E67,"N",$K$2:K67,"&lt;&gt;Y"),"")</f>
        <v/>
      </c>
      <c r="AF67" s="119">
        <f>IF(AND(AD67="Y",C67="5:45 AM",E67="N",K67&lt;&gt;"Y"),COUNTIFS($AD$2:AD67,"Y",$C$2:C67,"5:45 AM",$E$2:E67,"N",$K$2:K67,"&lt;&gt;Y"),"")</f>
        <v/>
      </c>
      <c r="AG67" s="119">
        <f>IF(AND(AD67="Y",C67="3:45 AM",E67="N",L67="Y",K67&lt;&gt;"Y"),COUNTIFS($AD$2:AD67,"Y",$C$2:C67,"3:45 AM",$E$2:E67,"N",$L$2:L67,"Y",$K$2:K67,"&lt;&gt;Y"),"")</f>
        <v/>
      </c>
      <c r="AH67" s="119">
        <f>IF(AND(AD67="Y",C67="5:45 AM",E67="N",L67="Y",K67&lt;&gt;"Y"),COUNTIFS($AD$2:AD67,"Y",$C$2:C67,"5:45 AM",$E$2:E67,"N",$L$2:L67,"Y",$K$2:K67,"&lt;&gt;Y"),"")</f>
        <v/>
      </c>
      <c r="AI67" s="119">
        <f>IF(AND(AD67="Y",E67="N",K67="Y",OR(C67="3:45 AM",C67="5:45 AM")),SUMPRODUCT(($AD$2:AD67="Y")*($E$2:E67="N")*($K$2:K67="Y")*(($C$2:C67="3:45 AM")+($C$2:C67="5:45 AM"))), "")</f>
        <v/>
      </c>
      <c r="AJ67" s="119">
        <f>IF(AND(AD67="Y",C67="3:45 AM",E67="N",J67="Y"),COUNTIFS($AD$2:AD67,"Y",$C$2:C67,"3:45 AM",$E$2:E67,"N",$J$2:J67,"Y"),"")</f>
        <v/>
      </c>
      <c r="AK67" s="119">
        <f>IF(AND(AD67="Y",E67="N",I67="Y",OR(C67="3:45 AM",C67="5:45 AM")),SUMPRODUCT(($AD$2:AD67="Y")*($E$2:E67="N")*($I$2:I67="Y")*(($C$2:C67="3:45 AM")+($C$2:C67="5:45 AM"))), "")</f>
        <v/>
      </c>
      <c r="AL67" s="119">
        <f>IF(AND(AD67="Y",C67="12:15 PM",E67="N",K67&lt;&gt;"Y"),COUNTIFS($AD$2:AD67,"Y",$C$2:C67,"12:15 PM",$E$2:E67,"N",$K$2:K67,"&lt;&gt;Y"),"")</f>
        <v/>
      </c>
      <c r="AM67" s="119">
        <f>IF(AND(AD67="Y",C67="2:00 PM",E67="N",K67&lt;&gt;"Y"),COUNTIFS($AD$2:AD67,"Y",$C$2:C67,"2:00 PM",$E$2:E67,"N",$K$2:K67,"&lt;&gt;Y"),"")</f>
        <v/>
      </c>
      <c r="AN67" s="119">
        <f>IF(AND(AD67="Y",E67="N",K67="Y",OR(C67="12:15 PM",C67="2:00 PM")),SUMPRODUCT(($AD$2:AD67="Y")*($E$2:E67="N")*($K$2:K67="Y")*(($C$2:C67="12:15 PM")+($C$2:C67="2:00 PM"))), "")</f>
        <v/>
      </c>
      <c r="AO67" s="119">
        <f>IF(AND(AD67="Y",C67="12:15 PM",E67="N",L67="Y"),COUNTIFS($AD$2:AD67,"Y",$C$2:C67,"12:15 PM",$E$2:E67,"N",$L$2:L67,"Y"),"")</f>
        <v/>
      </c>
      <c r="AP67" s="119">
        <f>IF(AND(AD67="Y",C67="2:00 PM",E67="N",L67="Y"),COUNTIFS($AD$2:AD67,"Y",$C$2:C67,"2:00 PM",$E$2:E67,"N",$L$2:L67,"Y"),"")</f>
        <v/>
      </c>
    </row>
    <row r="68" ht="14.25" customHeight="1" s="120">
      <c r="A68" s="231" t="inlineStr">
        <is>
          <t>EMP-0070</t>
        </is>
      </c>
      <c r="B68" s="232" t="inlineStr">
        <is>
          <t>Isaiah Williams</t>
        </is>
      </c>
      <c r="C68" s="232" t="inlineStr">
        <is>
          <t>5:45 AM</t>
        </is>
      </c>
      <c r="D68" s="232" t="inlineStr">
        <is>
          <t>Thu, Fri</t>
        </is>
      </c>
      <c r="E68" s="232" t="inlineStr">
        <is>
          <t>N</t>
        </is>
      </c>
      <c r="F68" s="232" t="inlineStr">
        <is>
          <t>N</t>
        </is>
      </c>
      <c r="G68" s="232" t="inlineStr">
        <is>
          <t>Y</t>
        </is>
      </c>
      <c r="H68" s="232" t="inlineStr">
        <is>
          <t>None</t>
        </is>
      </c>
      <c r="I68" s="232" t="inlineStr">
        <is>
          <t>N</t>
        </is>
      </c>
      <c r="J68" s="232" t="inlineStr">
        <is>
          <t>Y</t>
        </is>
      </c>
      <c r="K68" s="232" t="inlineStr">
        <is>
          <t>N</t>
        </is>
      </c>
      <c r="L68" s="232" t="inlineStr">
        <is>
          <t>Y</t>
        </is>
      </c>
      <c r="M68" s="232" t="inlineStr">
        <is>
          <t>Standard</t>
        </is>
      </c>
      <c r="N68" s="232" t="n"/>
      <c r="O68" s="232" t="n"/>
      <c r="P68" s="232" t="inlineStr">
        <is>
          <t>N</t>
        </is>
      </c>
      <c r="Q68" s="232" t="n"/>
      <c r="R68" s="232" t="n"/>
      <c r="S68" s="232" t="n"/>
      <c r="T68" s="233" t="inlineStr">
        <is>
          <t>N</t>
        </is>
      </c>
      <c r="U68" s="227">
        <f>IF($B68="","",IF(AND($G68="Y",ISERROR(SEARCH(TEXT('Control Center'!$B$3,"ddd"),TRIM($D68)))),"Y","N"))</f>
        <v/>
      </c>
      <c r="V68" s="227">
        <f>IF($B68="","",IF(AND($U68="Y",OR($C68="3:45 AM",$C68="5:45 AM"),OR('Control Center'!$B$4="N",$K68&lt;&gt;"Y")),"Y","N"))</f>
        <v/>
      </c>
      <c r="W68" s="227">
        <f>IF($B68="","",IF(AND($U68="Y",OR($C68="12:15 PM",$C68="2:00 PM"),OR('Control Center'!$B$5="N",$K68&lt;&gt;"Y")),"Y","N"))</f>
        <v/>
      </c>
      <c r="X68" s="228" t="n"/>
      <c r="Y68" s="229" t="n"/>
      <c r="Z68" s="228" t="n"/>
      <c r="AA68" s="229" t="n"/>
      <c r="AB68" s="230">
        <f>IF($B68="","",IF($P68="Y",IF($Y68="Y","Completed","In Progress"),""))</f>
        <v/>
      </c>
      <c r="AC68" s="119">
        <f>IF($B68="","",IF(COUNTIFS('Approved Absences'!$A$2:$A$200,$B68,'Approved Absences'!$B$2:$B$200,"&lt;="&amp;INT('Control Center'!$B$3),'Approved Absences'!$C$2:$C$200,"&gt;="&amp;INT('Control Center'!$B$3))&gt;0,"Y","N"))</f>
        <v/>
      </c>
      <c r="AD68" s="119">
        <f>IF($B68="","",IF(AND($G68="Y",$AC68&lt;&gt;"Y",ISERROR(SEARCH(TEXT('Control Center'!$B$3,"ddd"),TRIM($D68)))),"Y","N"))</f>
        <v/>
      </c>
      <c r="AE68" s="119">
        <f>IF(AND(AD68="Y",C68="3:45 AM",E68="N",K68&lt;&gt;"Y"),COUNTIFS($AD$2:AD68,"Y",$C$2:C68,"3:45 AM",$E$2:E68,"N",$K$2:K68,"&lt;&gt;Y"),"")</f>
        <v/>
      </c>
      <c r="AF68" s="119">
        <f>IF(AND(AD68="Y",C68="5:45 AM",E68="N",K68&lt;&gt;"Y"),COUNTIFS($AD$2:AD68,"Y",$C$2:C68,"5:45 AM",$E$2:E68,"N",$K$2:K68,"&lt;&gt;Y"),"")</f>
        <v/>
      </c>
      <c r="AG68" s="119">
        <f>IF(AND(AD68="Y",C68="3:45 AM",E68="N",L68="Y",K68&lt;&gt;"Y"),COUNTIFS($AD$2:AD68,"Y",$C$2:C68,"3:45 AM",$E$2:E68,"N",$L$2:L68,"Y",$K$2:K68,"&lt;&gt;Y"),"")</f>
        <v/>
      </c>
      <c r="AH68" s="119">
        <f>IF(AND(AD68="Y",C68="5:45 AM",E68="N",L68="Y",K68&lt;&gt;"Y"),COUNTIFS($AD$2:AD68,"Y",$C$2:C68,"5:45 AM",$E$2:E68,"N",$L$2:L68,"Y",$K$2:K68,"&lt;&gt;Y"),"")</f>
        <v/>
      </c>
      <c r="AI68" s="119">
        <f>IF(AND(AD68="Y",E68="N",K68="Y",OR(C68="3:45 AM",C68="5:45 AM")),SUMPRODUCT(($AD$2:AD68="Y")*($E$2:E68="N")*($K$2:K68="Y")*(($C$2:C68="3:45 AM")+($C$2:C68="5:45 AM"))), "")</f>
        <v/>
      </c>
      <c r="AJ68" s="119">
        <f>IF(AND(AD68="Y",C68="3:45 AM",E68="N",J68="Y"),COUNTIFS($AD$2:AD68,"Y",$C$2:C68,"3:45 AM",$E$2:E68,"N",$J$2:J68,"Y"),"")</f>
        <v/>
      </c>
      <c r="AK68" s="119">
        <f>IF(AND(AD68="Y",E68="N",I68="Y",OR(C68="3:45 AM",C68="5:45 AM")),SUMPRODUCT(($AD$2:AD68="Y")*($E$2:E68="N")*($I$2:I68="Y")*(($C$2:C68="3:45 AM")+($C$2:C68="5:45 AM"))), "")</f>
        <v/>
      </c>
      <c r="AL68" s="119">
        <f>IF(AND(AD68="Y",C68="12:15 PM",E68="N",K68&lt;&gt;"Y"),COUNTIFS($AD$2:AD68,"Y",$C$2:C68,"12:15 PM",$E$2:E68,"N",$K$2:K68,"&lt;&gt;Y"),"")</f>
        <v/>
      </c>
      <c r="AM68" s="119">
        <f>IF(AND(AD68="Y",C68="2:00 PM",E68="N",K68&lt;&gt;"Y"),COUNTIFS($AD$2:AD68,"Y",$C$2:C68,"2:00 PM",$E$2:E68,"N",$K$2:K68,"&lt;&gt;Y"),"")</f>
        <v/>
      </c>
      <c r="AN68" s="119">
        <f>IF(AND(AD68="Y",E68="N",K68="Y",OR(C68="12:15 PM",C68="2:00 PM")),SUMPRODUCT(($AD$2:AD68="Y")*($E$2:E68="N")*($K$2:K68="Y")*(($C$2:C68="12:15 PM")+($C$2:C68="2:00 PM"))), "")</f>
        <v/>
      </c>
      <c r="AO68" s="119">
        <f>IF(AND(AD68="Y",C68="12:15 PM",E68="N",L68="Y"),COUNTIFS($AD$2:AD68,"Y",$C$2:C68,"12:15 PM",$E$2:E68,"N",$L$2:L68,"Y"),"")</f>
        <v/>
      </c>
      <c r="AP68" s="119">
        <f>IF(AND(AD68="Y",C68="2:00 PM",E68="N",L68="Y"),COUNTIFS($AD$2:AD68,"Y",$C$2:C68,"2:00 PM",$E$2:E68,"N",$L$2:L68,"Y"),"")</f>
        <v/>
      </c>
    </row>
    <row r="69" ht="14.25" customHeight="1" s="120">
      <c r="A69" s="231" t="inlineStr">
        <is>
          <t>EMP-0072</t>
        </is>
      </c>
      <c r="B69" s="232" t="inlineStr">
        <is>
          <t>Ivory Johnson</t>
        </is>
      </c>
      <c r="C69" s="232" t="inlineStr">
        <is>
          <t>12:15 PM</t>
        </is>
      </c>
      <c r="D69" s="232" t="inlineStr">
        <is>
          <t>Fri, Sat</t>
        </is>
      </c>
      <c r="E69" s="232" t="inlineStr">
        <is>
          <t>N</t>
        </is>
      </c>
      <c r="F69" s="232" t="inlineStr">
        <is>
          <t>N</t>
        </is>
      </c>
      <c r="G69" s="232" t="inlineStr">
        <is>
          <t>Y</t>
        </is>
      </c>
      <c r="H69" s="232" t="inlineStr">
        <is>
          <t>None</t>
        </is>
      </c>
      <c r="I69" s="232" t="inlineStr">
        <is>
          <t>N</t>
        </is>
      </c>
      <c r="J69" s="232" t="inlineStr">
        <is>
          <t>N</t>
        </is>
      </c>
      <c r="K69" s="232" t="inlineStr">
        <is>
          <t>N</t>
        </is>
      </c>
      <c r="L69" s="232" t="inlineStr">
        <is>
          <t>N</t>
        </is>
      </c>
      <c r="M69" s="232" t="inlineStr">
        <is>
          <t>Standard</t>
        </is>
      </c>
      <c r="N69" s="232" t="n"/>
      <c r="O69" s="232" t="n"/>
      <c r="P69" s="232" t="inlineStr">
        <is>
          <t>N</t>
        </is>
      </c>
      <c r="Q69" s="232" t="n"/>
      <c r="R69" s="232" t="n"/>
      <c r="S69" s="232" t="n"/>
      <c r="T69" s="233" t="inlineStr">
        <is>
          <t>N</t>
        </is>
      </c>
      <c r="U69" s="227">
        <f>IF($B69="","",IF(AND($G69="Y",ISERROR(SEARCH(TEXT('Control Center'!$B$3,"ddd"),TRIM($D69)))),"Y","N"))</f>
        <v/>
      </c>
      <c r="V69" s="227">
        <f>IF($B69="","",IF(AND($U69="Y",OR($C69="3:45 AM",$C69="5:45 AM"),OR('Control Center'!$B$4="N",$K69&lt;&gt;"Y")),"Y","N"))</f>
        <v/>
      </c>
      <c r="W69" s="227">
        <f>IF($B69="","",IF(AND($U69="Y",OR($C69="12:15 PM",$C69="2:00 PM"),OR('Control Center'!$B$5="N",$K69&lt;&gt;"Y")),"Y","N"))</f>
        <v/>
      </c>
      <c r="X69" s="228" t="n"/>
      <c r="Y69" s="229" t="n"/>
      <c r="Z69" s="228" t="n"/>
      <c r="AA69" s="229" t="n"/>
      <c r="AB69" s="230">
        <f>IF($B69="","",IF($P69="Y",IF($Y69="Y","Completed","In Progress"),""))</f>
        <v/>
      </c>
      <c r="AC69" s="119">
        <f>IF($B69="","",IF(COUNTIFS('Approved Absences'!$A$2:$A$200,$B69,'Approved Absences'!$B$2:$B$200,"&lt;="&amp;INT('Control Center'!$B$3),'Approved Absences'!$C$2:$C$200,"&gt;="&amp;INT('Control Center'!$B$3))&gt;0,"Y","N"))</f>
        <v/>
      </c>
      <c r="AD69" s="119">
        <f>IF($B69="","",IF(AND($G69="Y",$AC69&lt;&gt;"Y",ISERROR(SEARCH(TEXT('Control Center'!$B$3,"ddd"),TRIM($D69)))),"Y","N"))</f>
        <v/>
      </c>
      <c r="AE69" s="119">
        <f>IF(AND(AD69="Y",C69="3:45 AM",E69="N",K69&lt;&gt;"Y"),COUNTIFS($AD$2:AD69,"Y",$C$2:C69,"3:45 AM",$E$2:E69,"N",$K$2:K69,"&lt;&gt;Y"),"")</f>
        <v/>
      </c>
      <c r="AF69" s="119">
        <f>IF(AND(AD69="Y",C69="5:45 AM",E69="N",K69&lt;&gt;"Y"),COUNTIFS($AD$2:AD69,"Y",$C$2:C69,"5:45 AM",$E$2:E69,"N",$K$2:K69,"&lt;&gt;Y"),"")</f>
        <v/>
      </c>
      <c r="AG69" s="119">
        <f>IF(AND(AD69="Y",C69="3:45 AM",E69="N",L69="Y",K69&lt;&gt;"Y"),COUNTIFS($AD$2:AD69,"Y",$C$2:C69,"3:45 AM",$E$2:E69,"N",$L$2:L69,"Y",$K$2:K69,"&lt;&gt;Y"),"")</f>
        <v/>
      </c>
      <c r="AH69" s="119">
        <f>IF(AND(AD69="Y",C69="5:45 AM",E69="N",L69="Y",K69&lt;&gt;"Y"),COUNTIFS($AD$2:AD69,"Y",$C$2:C69,"5:45 AM",$E$2:E69,"N",$L$2:L69,"Y",$K$2:K69,"&lt;&gt;Y"),"")</f>
        <v/>
      </c>
      <c r="AI69" s="119">
        <f>IF(AND(AD69="Y",E69="N",K69="Y",OR(C69="3:45 AM",C69="5:45 AM")),SUMPRODUCT(($AD$2:AD69="Y")*($E$2:E69="N")*($K$2:K69="Y")*(($C$2:C69="3:45 AM")+($C$2:C69="5:45 AM"))), "")</f>
        <v/>
      </c>
      <c r="AJ69" s="119">
        <f>IF(AND(AD69="Y",C69="3:45 AM",E69="N",J69="Y"),COUNTIFS($AD$2:AD69,"Y",$C$2:C69,"3:45 AM",$E$2:E69,"N",$J$2:J69,"Y"),"")</f>
        <v/>
      </c>
      <c r="AK69" s="119">
        <f>IF(AND(AD69="Y",E69="N",I69="Y",OR(C69="3:45 AM",C69="5:45 AM")),SUMPRODUCT(($AD$2:AD69="Y")*($E$2:E69="N")*($I$2:I69="Y")*(($C$2:C69="3:45 AM")+($C$2:C69="5:45 AM"))), "")</f>
        <v/>
      </c>
      <c r="AL69" s="119">
        <f>IF(AND(AD69="Y",C69="12:15 PM",E69="N",K69&lt;&gt;"Y"),COUNTIFS($AD$2:AD69,"Y",$C$2:C69,"12:15 PM",$E$2:E69,"N",$K$2:K69,"&lt;&gt;Y"),"")</f>
        <v/>
      </c>
      <c r="AM69" s="119">
        <f>IF(AND(AD69="Y",C69="2:00 PM",E69="N",K69&lt;&gt;"Y"),COUNTIFS($AD$2:AD69,"Y",$C$2:C69,"2:00 PM",$E$2:E69,"N",$K$2:K69,"&lt;&gt;Y"),"")</f>
        <v/>
      </c>
      <c r="AN69" s="119">
        <f>IF(AND(AD69="Y",E69="N",K69="Y",OR(C69="12:15 PM",C69="2:00 PM")),SUMPRODUCT(($AD$2:AD69="Y")*($E$2:E69="N")*($K$2:K69="Y")*(($C$2:C69="12:15 PM")+($C$2:C69="2:00 PM"))), "")</f>
        <v/>
      </c>
      <c r="AO69" s="119">
        <f>IF(AND(AD69="Y",C69="12:15 PM",E69="N",L69="Y"),COUNTIFS($AD$2:AD69,"Y",$C$2:C69,"12:15 PM",$E$2:E69,"N",$L$2:L69,"Y"),"")</f>
        <v/>
      </c>
      <c r="AP69" s="119">
        <f>IF(AND(AD69="Y",C69="2:00 PM",E69="N",L69="Y"),COUNTIFS($AD$2:AD69,"Y",$C$2:C69,"2:00 PM",$E$2:E69,"N",$L$2:L69,"Y"),"")</f>
        <v/>
      </c>
    </row>
    <row r="70" ht="14.25" customHeight="1" s="120">
      <c r="A70" s="231" t="inlineStr">
        <is>
          <t>EMP-0073</t>
        </is>
      </c>
      <c r="B70" s="232" t="inlineStr">
        <is>
          <t>Jacquatta Green</t>
        </is>
      </c>
      <c r="C70" s="232" t="inlineStr">
        <is>
          <t>5:45 AM</t>
        </is>
      </c>
      <c r="D70" s="232" t="inlineStr">
        <is>
          <t>Sat, Sun</t>
        </is>
      </c>
      <c r="E70" s="232" t="inlineStr">
        <is>
          <t>N</t>
        </is>
      </c>
      <c r="F70" s="232" t="inlineStr">
        <is>
          <t>N</t>
        </is>
      </c>
      <c r="G70" s="232" t="inlineStr">
        <is>
          <t>Y</t>
        </is>
      </c>
      <c r="H70" s="232" t="inlineStr">
        <is>
          <t>None</t>
        </is>
      </c>
      <c r="I70" s="232" t="inlineStr">
        <is>
          <t>N</t>
        </is>
      </c>
      <c r="J70" s="232" t="inlineStr">
        <is>
          <t>N</t>
        </is>
      </c>
      <c r="K70" s="232" t="inlineStr">
        <is>
          <t>Y</t>
        </is>
      </c>
      <c r="L70" s="232" t="inlineStr">
        <is>
          <t>Y</t>
        </is>
      </c>
      <c r="M70" s="232" t="inlineStr">
        <is>
          <t>Standard</t>
        </is>
      </c>
      <c r="N70" s="232" t="n"/>
      <c r="O70" s="232" t="n"/>
      <c r="P70" s="232" t="inlineStr">
        <is>
          <t>N</t>
        </is>
      </c>
      <c r="Q70" s="232" t="n"/>
      <c r="R70" s="232" t="n"/>
      <c r="S70" s="232" t="n"/>
      <c r="T70" s="233" t="inlineStr">
        <is>
          <t>N</t>
        </is>
      </c>
      <c r="U70" s="227">
        <f>IF($B70="","",IF(AND($G70="Y",ISERROR(SEARCH(TEXT('Control Center'!$B$3,"ddd"),TRIM($D70)))),"Y","N"))</f>
        <v/>
      </c>
      <c r="V70" s="227">
        <f>IF($B70="","",IF(AND($U70="Y",OR($C70="3:45 AM",$C70="5:45 AM"),OR('Control Center'!$B$4="N",$K70&lt;&gt;"Y")),"Y","N"))</f>
        <v/>
      </c>
      <c r="W70" s="227">
        <f>IF($B70="","",IF(AND($U70="Y",OR($C70="12:15 PM",$C70="2:00 PM"),OR('Control Center'!$B$5="N",$K70&lt;&gt;"Y")),"Y","N"))</f>
        <v/>
      </c>
      <c r="X70" s="228" t="n"/>
      <c r="Y70" s="229" t="n"/>
      <c r="Z70" s="228" t="n"/>
      <c r="AA70" s="229" t="n"/>
      <c r="AB70" s="230">
        <f>IF($B70="","",IF($P70="Y",IF($Y70="Y","Completed","In Progress"),""))</f>
        <v/>
      </c>
      <c r="AC70" s="119">
        <f>IF($B70="","",IF(COUNTIFS('Approved Absences'!$A$2:$A$200,$B70,'Approved Absences'!$B$2:$B$200,"&lt;="&amp;INT('Control Center'!$B$3),'Approved Absences'!$C$2:$C$200,"&gt;="&amp;INT('Control Center'!$B$3))&gt;0,"Y","N"))</f>
        <v/>
      </c>
      <c r="AD70" s="119">
        <f>IF($B70="","",IF(AND($G70="Y",$AC70&lt;&gt;"Y",ISERROR(SEARCH(TEXT('Control Center'!$B$3,"ddd"),TRIM($D70)))),"Y","N"))</f>
        <v/>
      </c>
      <c r="AE70" s="119">
        <f>IF(AND(AD70="Y",C70="3:45 AM",E70="N",K70&lt;&gt;"Y"),COUNTIFS($AD$2:AD70,"Y",$C$2:C70,"3:45 AM",$E$2:E70,"N",$K$2:K70,"&lt;&gt;Y"),"")</f>
        <v/>
      </c>
      <c r="AF70" s="119">
        <f>IF(AND(AD70="Y",C70="5:45 AM",E70="N",K70&lt;&gt;"Y"),COUNTIFS($AD$2:AD70,"Y",$C$2:C70,"5:45 AM",$E$2:E70,"N",$K$2:K70,"&lt;&gt;Y"),"")</f>
        <v/>
      </c>
      <c r="AG70" s="119">
        <f>IF(AND(AD70="Y",C70="3:45 AM",E70="N",L70="Y",K70&lt;&gt;"Y"),COUNTIFS($AD$2:AD70,"Y",$C$2:C70,"3:45 AM",$E$2:E70,"N",$L$2:L70,"Y",$K$2:K70,"&lt;&gt;Y"),"")</f>
        <v/>
      </c>
      <c r="AH70" s="119">
        <f>IF(AND(AD70="Y",C70="5:45 AM",E70="N",L70="Y",K70&lt;&gt;"Y"),COUNTIFS($AD$2:AD70,"Y",$C$2:C70,"5:45 AM",$E$2:E70,"N",$L$2:L70,"Y",$K$2:K70,"&lt;&gt;Y"),"")</f>
        <v/>
      </c>
      <c r="AI70" s="119">
        <f>IF(AND(AD70="Y",E70="N",K70="Y",OR(C70="3:45 AM",C70="5:45 AM")),SUMPRODUCT(($AD$2:AD70="Y")*($E$2:E70="N")*($K$2:K70="Y")*(($C$2:C70="3:45 AM")+($C$2:C70="5:45 AM"))), "")</f>
        <v/>
      </c>
      <c r="AJ70" s="119">
        <f>IF(AND(AD70="Y",C70="3:45 AM",E70="N",J70="Y"),COUNTIFS($AD$2:AD70,"Y",$C$2:C70,"3:45 AM",$E$2:E70,"N",$J$2:J70,"Y"),"")</f>
        <v/>
      </c>
      <c r="AK70" s="119">
        <f>IF(AND(AD70="Y",E70="N",I70="Y",OR(C70="3:45 AM",C70="5:45 AM")),SUMPRODUCT(($AD$2:AD70="Y")*($E$2:E70="N")*($I$2:I70="Y")*(($C$2:C70="3:45 AM")+($C$2:C70="5:45 AM"))), "")</f>
        <v/>
      </c>
      <c r="AL70" s="119">
        <f>IF(AND(AD70="Y",C70="12:15 PM",E70="N",K70&lt;&gt;"Y"),COUNTIFS($AD$2:AD70,"Y",$C$2:C70,"12:15 PM",$E$2:E70,"N",$K$2:K70,"&lt;&gt;Y"),"")</f>
        <v/>
      </c>
      <c r="AM70" s="119">
        <f>IF(AND(AD70="Y",C70="2:00 PM",E70="N",K70&lt;&gt;"Y"),COUNTIFS($AD$2:AD70,"Y",$C$2:C70,"2:00 PM",$E$2:E70,"N",$K$2:K70,"&lt;&gt;Y"),"")</f>
        <v/>
      </c>
      <c r="AN70" s="119">
        <f>IF(AND(AD70="Y",E70="N",K70="Y",OR(C70="12:15 PM",C70="2:00 PM")),SUMPRODUCT(($AD$2:AD70="Y")*($E$2:E70="N")*($K$2:K70="Y")*(($C$2:C70="12:15 PM")+($C$2:C70="2:00 PM"))), "")</f>
        <v/>
      </c>
      <c r="AO70" s="119">
        <f>IF(AND(AD70="Y",C70="12:15 PM",E70="N",L70="Y"),COUNTIFS($AD$2:AD70,"Y",$C$2:C70,"12:15 PM",$E$2:E70,"N",$L$2:L70,"Y"),"")</f>
        <v/>
      </c>
      <c r="AP70" s="119">
        <f>IF(AND(AD70="Y",C70="2:00 PM",E70="N",L70="Y"),COUNTIFS($AD$2:AD70,"Y",$C$2:C70,"2:00 PM",$E$2:E70,"N",$L$2:L70,"Y"),"")</f>
        <v/>
      </c>
    </row>
    <row r="71" ht="14.25" customHeight="1" s="120">
      <c r="A71" s="231" t="inlineStr">
        <is>
          <t>EMP-0074</t>
        </is>
      </c>
      <c r="B71" s="232" t="inlineStr">
        <is>
          <t>Jada Batiste</t>
        </is>
      </c>
      <c r="C71" s="232" t="inlineStr">
        <is>
          <t>5:45 AM</t>
        </is>
      </c>
      <c r="D71" s="232" t="inlineStr">
        <is>
          <t>Wed, Thu</t>
        </is>
      </c>
      <c r="E71" s="232" t="inlineStr">
        <is>
          <t>N</t>
        </is>
      </c>
      <c r="F71" s="232" t="inlineStr">
        <is>
          <t>N</t>
        </is>
      </c>
      <c r="G71" s="232" t="inlineStr">
        <is>
          <t>Y</t>
        </is>
      </c>
      <c r="H71" s="232" t="inlineStr">
        <is>
          <t>None</t>
        </is>
      </c>
      <c r="I71" s="232" t="inlineStr">
        <is>
          <t>N</t>
        </is>
      </c>
      <c r="J71" s="232" t="inlineStr">
        <is>
          <t>N</t>
        </is>
      </c>
      <c r="K71" s="232" t="inlineStr">
        <is>
          <t>N</t>
        </is>
      </c>
      <c r="L71" s="232" t="inlineStr">
        <is>
          <t>Y</t>
        </is>
      </c>
      <c r="M71" s="232" t="inlineStr">
        <is>
          <t>Standard</t>
        </is>
      </c>
      <c r="N71" s="232" t="n"/>
      <c r="O71" s="232" t="n"/>
      <c r="P71" s="232" t="inlineStr">
        <is>
          <t>N</t>
        </is>
      </c>
      <c r="Q71" s="232" t="n"/>
      <c r="R71" s="232" t="n"/>
      <c r="S71" s="232" t="n"/>
      <c r="T71" s="233" t="inlineStr">
        <is>
          <t>N</t>
        </is>
      </c>
      <c r="U71" s="227">
        <f>IF($B71="","",IF(AND($G71="Y",ISERROR(SEARCH(TEXT('Control Center'!$B$3,"ddd"),TRIM($D71)))),"Y","N"))</f>
        <v/>
      </c>
      <c r="V71" s="227">
        <f>IF($B71="","",IF(AND($U71="Y",OR($C71="3:45 AM",$C71="5:45 AM"),OR('Control Center'!$B$4="N",$K71&lt;&gt;"Y")),"Y","N"))</f>
        <v/>
      </c>
      <c r="W71" s="227">
        <f>IF($B71="","",IF(AND($U71="Y",OR($C71="12:15 PM",$C71="2:00 PM"),OR('Control Center'!$B$5="N",$K71&lt;&gt;"Y")),"Y","N"))</f>
        <v/>
      </c>
      <c r="X71" s="228" t="n"/>
      <c r="Y71" s="229" t="n"/>
      <c r="Z71" s="228" t="n"/>
      <c r="AA71" s="229" t="n"/>
      <c r="AB71" s="230">
        <f>IF($B71="","",IF($P71="Y",IF($Y71="Y","Completed","In Progress"),""))</f>
        <v/>
      </c>
      <c r="AC71" s="119">
        <f>IF($B71="","",IF(COUNTIFS('Approved Absences'!$A$2:$A$200,$B71,'Approved Absences'!$B$2:$B$200,"&lt;="&amp;INT('Control Center'!$B$3),'Approved Absences'!$C$2:$C$200,"&gt;="&amp;INT('Control Center'!$B$3))&gt;0,"Y","N"))</f>
        <v/>
      </c>
      <c r="AD71" s="119">
        <f>IF($B71="","",IF(AND($G71="Y",$AC71&lt;&gt;"Y",ISERROR(SEARCH(TEXT('Control Center'!$B$3,"ddd"),TRIM($D71)))),"Y","N"))</f>
        <v/>
      </c>
      <c r="AE71" s="119">
        <f>IF(AND(AD71="Y",C71="3:45 AM",E71="N",K71&lt;&gt;"Y"),COUNTIFS($AD$2:AD71,"Y",$C$2:C71,"3:45 AM",$E$2:E71,"N",$K$2:K71,"&lt;&gt;Y"),"")</f>
        <v/>
      </c>
      <c r="AF71" s="119">
        <f>IF(AND(AD71="Y",C71="5:45 AM",E71="N",K71&lt;&gt;"Y"),COUNTIFS($AD$2:AD71,"Y",$C$2:C71,"5:45 AM",$E$2:E71,"N",$K$2:K71,"&lt;&gt;Y"),"")</f>
        <v/>
      </c>
      <c r="AG71" s="119">
        <f>IF(AND(AD71="Y",C71="3:45 AM",E71="N",L71="Y",K71&lt;&gt;"Y"),COUNTIFS($AD$2:AD71,"Y",$C$2:C71,"3:45 AM",$E$2:E71,"N",$L$2:L71,"Y",$K$2:K71,"&lt;&gt;Y"),"")</f>
        <v/>
      </c>
      <c r="AH71" s="119">
        <f>IF(AND(AD71="Y",C71="5:45 AM",E71="N",L71="Y",K71&lt;&gt;"Y"),COUNTIFS($AD$2:AD71,"Y",$C$2:C71,"5:45 AM",$E$2:E71,"N",$L$2:L71,"Y",$K$2:K71,"&lt;&gt;Y"),"")</f>
        <v/>
      </c>
      <c r="AI71" s="119">
        <f>IF(AND(AD71="Y",E71="N",K71="Y",OR(C71="3:45 AM",C71="5:45 AM")),SUMPRODUCT(($AD$2:AD71="Y")*($E$2:E71="N")*($K$2:K71="Y")*(($C$2:C71="3:45 AM")+($C$2:C71="5:45 AM"))), "")</f>
        <v/>
      </c>
      <c r="AJ71" s="119">
        <f>IF(AND(AD71="Y",C71="3:45 AM",E71="N",J71="Y"),COUNTIFS($AD$2:AD71,"Y",$C$2:C71,"3:45 AM",$E$2:E71,"N",$J$2:J71,"Y"),"")</f>
        <v/>
      </c>
      <c r="AK71" s="119">
        <f>IF(AND(AD71="Y",E71="N",I71="Y",OR(C71="3:45 AM",C71="5:45 AM")),SUMPRODUCT(($AD$2:AD71="Y")*($E$2:E71="N")*($I$2:I71="Y")*(($C$2:C71="3:45 AM")+($C$2:C71="5:45 AM"))), "")</f>
        <v/>
      </c>
      <c r="AL71" s="119">
        <f>IF(AND(AD71="Y",C71="12:15 PM",E71="N",K71&lt;&gt;"Y"),COUNTIFS($AD$2:AD71,"Y",$C$2:C71,"12:15 PM",$E$2:E71,"N",$K$2:K71,"&lt;&gt;Y"),"")</f>
        <v/>
      </c>
      <c r="AM71" s="119">
        <f>IF(AND(AD71="Y",C71="2:00 PM",E71="N",K71&lt;&gt;"Y"),COUNTIFS($AD$2:AD71,"Y",$C$2:C71,"2:00 PM",$E$2:E71,"N",$K$2:K71,"&lt;&gt;Y"),"")</f>
        <v/>
      </c>
      <c r="AN71" s="119">
        <f>IF(AND(AD71="Y",E71="N",K71="Y",OR(C71="12:15 PM",C71="2:00 PM")),SUMPRODUCT(($AD$2:AD71="Y")*($E$2:E71="N")*($K$2:K71="Y")*(($C$2:C71="12:15 PM")+($C$2:C71="2:00 PM"))), "")</f>
        <v/>
      </c>
      <c r="AO71" s="119">
        <f>IF(AND(AD71="Y",C71="12:15 PM",E71="N",L71="Y"),COUNTIFS($AD$2:AD71,"Y",$C$2:C71,"12:15 PM",$E$2:E71,"N",$L$2:L71,"Y"),"")</f>
        <v/>
      </c>
      <c r="AP71" s="119">
        <f>IF(AND(AD71="Y",C71="2:00 PM",E71="N",L71="Y"),COUNTIFS($AD$2:AD71,"Y",$C$2:C71,"2:00 PM",$E$2:E71,"N",$L$2:L71,"Y"),"")</f>
        <v/>
      </c>
    </row>
    <row r="72" ht="14.25" customHeight="1" s="120">
      <c r="A72" s="231" t="inlineStr">
        <is>
          <t>EMP-0075</t>
        </is>
      </c>
      <c r="B72" s="232" t="inlineStr">
        <is>
          <t>Jalea Keith</t>
        </is>
      </c>
      <c r="C72" s="232" t="inlineStr">
        <is>
          <t>5:45 AM</t>
        </is>
      </c>
      <c r="D72" s="232" t="inlineStr">
        <is>
          <t>Mon, Tue</t>
        </is>
      </c>
      <c r="E72" s="232" t="inlineStr">
        <is>
          <t>N</t>
        </is>
      </c>
      <c r="F72" s="232" t="inlineStr">
        <is>
          <t>N</t>
        </is>
      </c>
      <c r="G72" s="232" t="inlineStr">
        <is>
          <t>Y</t>
        </is>
      </c>
      <c r="H72" s="232" t="inlineStr">
        <is>
          <t>None</t>
        </is>
      </c>
      <c r="I72" s="232" t="inlineStr">
        <is>
          <t>Y</t>
        </is>
      </c>
      <c r="J72" s="232" t="inlineStr">
        <is>
          <t>Y</t>
        </is>
      </c>
      <c r="K72" s="232" t="inlineStr">
        <is>
          <t>N</t>
        </is>
      </c>
      <c r="L72" s="232" t="inlineStr">
        <is>
          <t>Y</t>
        </is>
      </c>
      <c r="M72" s="232" t="inlineStr">
        <is>
          <t>Standard</t>
        </is>
      </c>
      <c r="N72" s="232" t="n"/>
      <c r="O72" s="232" t="n"/>
      <c r="P72" s="232" t="inlineStr">
        <is>
          <t>N</t>
        </is>
      </c>
      <c r="Q72" s="232" t="n"/>
      <c r="R72" s="232" t="n"/>
      <c r="S72" s="232" t="n"/>
      <c r="T72" s="233" t="inlineStr">
        <is>
          <t>N</t>
        </is>
      </c>
      <c r="U72" s="227">
        <f>IF($B72="","",IF(AND($G72="Y",ISERROR(SEARCH(TEXT('Control Center'!$B$3,"ddd"),TRIM($D72)))),"Y","N"))</f>
        <v/>
      </c>
      <c r="V72" s="227">
        <f>IF($B72="","",IF(AND($U72="Y",OR($C72="3:45 AM",$C72="5:45 AM"),OR('Control Center'!$B$4="N",$K72&lt;&gt;"Y")),"Y","N"))</f>
        <v/>
      </c>
      <c r="W72" s="227">
        <f>IF($B72="","",IF(AND($U72="Y",OR($C72="12:15 PM",$C72="2:00 PM"),OR('Control Center'!$B$5="N",$K72&lt;&gt;"Y")),"Y","N"))</f>
        <v/>
      </c>
      <c r="X72" s="228" t="n"/>
      <c r="Y72" s="229" t="n"/>
      <c r="Z72" s="228" t="n"/>
      <c r="AA72" s="229" t="n"/>
      <c r="AB72" s="230">
        <f>IF($B72="","",IF($P72="Y",IF($Y72="Y","Completed","In Progress"),""))</f>
        <v/>
      </c>
      <c r="AC72" s="119">
        <f>IF($B72="","",IF(COUNTIFS('Approved Absences'!$A$2:$A$200,$B72,'Approved Absences'!$B$2:$B$200,"&lt;="&amp;INT('Control Center'!$B$3),'Approved Absences'!$C$2:$C$200,"&gt;="&amp;INT('Control Center'!$B$3))&gt;0,"Y","N"))</f>
        <v/>
      </c>
      <c r="AD72" s="119">
        <f>IF($B72="","",IF(AND($G72="Y",$AC72&lt;&gt;"Y",ISERROR(SEARCH(TEXT('Control Center'!$B$3,"ddd"),TRIM($D72)))),"Y","N"))</f>
        <v/>
      </c>
      <c r="AE72" s="119">
        <f>IF(AND(AD72="Y",C72="3:45 AM",E72="N",K72&lt;&gt;"Y"),COUNTIFS($AD$2:AD72,"Y",$C$2:C72,"3:45 AM",$E$2:E72,"N",$K$2:K72,"&lt;&gt;Y"),"")</f>
        <v/>
      </c>
      <c r="AF72" s="119">
        <f>IF(AND(AD72="Y",C72="5:45 AM",E72="N",K72&lt;&gt;"Y"),COUNTIFS($AD$2:AD72,"Y",$C$2:C72,"5:45 AM",$E$2:E72,"N",$K$2:K72,"&lt;&gt;Y"),"")</f>
        <v/>
      </c>
      <c r="AG72" s="119">
        <f>IF(AND(AD72="Y",C72="3:45 AM",E72="N",L72="Y",K72&lt;&gt;"Y"),COUNTIFS($AD$2:AD72,"Y",$C$2:C72,"3:45 AM",$E$2:E72,"N",$L$2:L72,"Y",$K$2:K72,"&lt;&gt;Y"),"")</f>
        <v/>
      </c>
      <c r="AH72" s="119">
        <f>IF(AND(AD72="Y",C72="5:45 AM",E72="N",L72="Y",K72&lt;&gt;"Y"),COUNTIFS($AD$2:AD72,"Y",$C$2:C72,"5:45 AM",$E$2:E72,"N",$L$2:L72,"Y",$K$2:K72,"&lt;&gt;Y"),"")</f>
        <v/>
      </c>
      <c r="AI72" s="119">
        <f>IF(AND(AD72="Y",E72="N",K72="Y",OR(C72="3:45 AM",C72="5:45 AM")),SUMPRODUCT(($AD$2:AD72="Y")*($E$2:E72="N")*($K$2:K72="Y")*(($C$2:C72="3:45 AM")+($C$2:C72="5:45 AM"))), "")</f>
        <v/>
      </c>
      <c r="AJ72" s="119">
        <f>IF(AND(AD72="Y",C72="3:45 AM",E72="N",J72="Y"),COUNTIFS($AD$2:AD72,"Y",$C$2:C72,"3:45 AM",$E$2:E72,"N",$J$2:J72,"Y"),"")</f>
        <v/>
      </c>
      <c r="AK72" s="119">
        <f>IF(AND(AD72="Y",E72="N",I72="Y",OR(C72="3:45 AM",C72="5:45 AM")),SUMPRODUCT(($AD$2:AD72="Y")*($E$2:E72="N")*($I$2:I72="Y")*(($C$2:C72="3:45 AM")+($C$2:C72="5:45 AM"))), "")</f>
        <v/>
      </c>
      <c r="AL72" s="119">
        <f>IF(AND(AD72="Y",C72="12:15 PM",E72="N",K72&lt;&gt;"Y"),COUNTIFS($AD$2:AD72,"Y",$C$2:C72,"12:15 PM",$E$2:E72,"N",$K$2:K72,"&lt;&gt;Y"),"")</f>
        <v/>
      </c>
      <c r="AM72" s="119">
        <f>IF(AND(AD72="Y",C72="2:00 PM",E72="N",K72&lt;&gt;"Y"),COUNTIFS($AD$2:AD72,"Y",$C$2:C72,"2:00 PM",$E$2:E72,"N",$K$2:K72,"&lt;&gt;Y"),"")</f>
        <v/>
      </c>
      <c r="AN72" s="119">
        <f>IF(AND(AD72="Y",E72="N",K72="Y",OR(C72="12:15 PM",C72="2:00 PM")),SUMPRODUCT(($AD$2:AD72="Y")*($E$2:E72="N")*($K$2:K72="Y")*(($C$2:C72="12:15 PM")+($C$2:C72="2:00 PM"))), "")</f>
        <v/>
      </c>
      <c r="AO72" s="119">
        <f>IF(AND(AD72="Y",C72="12:15 PM",E72="N",L72="Y"),COUNTIFS($AD$2:AD72,"Y",$C$2:C72,"12:15 PM",$E$2:E72,"N",$L$2:L72,"Y"),"")</f>
        <v/>
      </c>
      <c r="AP72" s="119">
        <f>IF(AND(AD72="Y",C72="2:00 PM",E72="N",L72="Y"),COUNTIFS($AD$2:AD72,"Y",$C$2:C72,"2:00 PM",$E$2:E72,"N",$L$2:L72,"Y"),"")</f>
        <v/>
      </c>
    </row>
    <row r="73" ht="14.25" customHeight="1" s="120">
      <c r="A73" s="231" t="inlineStr">
        <is>
          <t>EMP-0076</t>
        </is>
      </c>
      <c r="B73" s="232" t="inlineStr">
        <is>
          <t>Jamal Reynolds</t>
        </is>
      </c>
      <c r="C73" s="232" t="inlineStr">
        <is>
          <t>5:45 AM</t>
        </is>
      </c>
      <c r="D73" s="232" t="inlineStr">
        <is>
          <t>Wed, Thu</t>
        </is>
      </c>
      <c r="E73" s="232" t="inlineStr">
        <is>
          <t>N</t>
        </is>
      </c>
      <c r="F73" s="232" t="inlineStr">
        <is>
          <t>N</t>
        </is>
      </c>
      <c r="G73" s="232" t="inlineStr">
        <is>
          <t>Y</t>
        </is>
      </c>
      <c r="H73" s="232" t="inlineStr">
        <is>
          <t>None</t>
        </is>
      </c>
      <c r="I73" s="232" t="inlineStr">
        <is>
          <t>N</t>
        </is>
      </c>
      <c r="J73" s="232" t="inlineStr">
        <is>
          <t>N</t>
        </is>
      </c>
      <c r="K73" s="232" t="inlineStr">
        <is>
          <t>N</t>
        </is>
      </c>
      <c r="L73" s="232" t="inlineStr">
        <is>
          <t>Y</t>
        </is>
      </c>
      <c r="M73" s="232" t="inlineStr">
        <is>
          <t>Standard</t>
        </is>
      </c>
      <c r="N73" s="232" t="n"/>
      <c r="O73" s="232" t="n"/>
      <c r="P73" s="232" t="inlineStr">
        <is>
          <t>N</t>
        </is>
      </c>
      <c r="Q73" s="232" t="n"/>
      <c r="R73" s="232" t="n"/>
      <c r="S73" s="232" t="n"/>
      <c r="T73" s="233" t="inlineStr">
        <is>
          <t>N</t>
        </is>
      </c>
      <c r="U73" s="227">
        <f>IF($B73="","",IF(AND($G73="Y",ISERROR(SEARCH(TEXT('Control Center'!$B$3,"ddd"),TRIM($D73)))),"Y","N"))</f>
        <v/>
      </c>
      <c r="V73" s="227">
        <f>IF($B73="","",IF(AND($U73="Y",OR($C73="3:45 AM",$C73="5:45 AM"),OR('Control Center'!$B$4="N",$K73&lt;&gt;"Y")),"Y","N"))</f>
        <v/>
      </c>
      <c r="W73" s="227">
        <f>IF($B73="","",IF(AND($U73="Y",OR($C73="12:15 PM",$C73="2:00 PM"),OR('Control Center'!$B$5="N",$K73&lt;&gt;"Y")),"Y","N"))</f>
        <v/>
      </c>
      <c r="X73" s="228" t="n"/>
      <c r="Y73" s="229" t="n"/>
      <c r="Z73" s="228" t="n"/>
      <c r="AA73" s="229" t="n"/>
      <c r="AB73" s="230">
        <f>IF($B73="","",IF($P73="Y",IF($Y73="Y","Completed","In Progress"),""))</f>
        <v/>
      </c>
      <c r="AC73" s="119">
        <f>IF($B73="","",IF(COUNTIFS('Approved Absences'!$A$2:$A$200,$B73,'Approved Absences'!$B$2:$B$200,"&lt;="&amp;INT('Control Center'!$B$3),'Approved Absences'!$C$2:$C$200,"&gt;="&amp;INT('Control Center'!$B$3))&gt;0,"Y","N"))</f>
        <v/>
      </c>
      <c r="AD73" s="119">
        <f>IF($B73="","",IF(AND($G73="Y",$AC73&lt;&gt;"Y",ISERROR(SEARCH(TEXT('Control Center'!$B$3,"ddd"),TRIM($D73)))),"Y","N"))</f>
        <v/>
      </c>
      <c r="AE73" s="119">
        <f>IF(AND(AD73="Y",C73="3:45 AM",E73="N",K73&lt;&gt;"Y"),COUNTIFS($AD$2:AD73,"Y",$C$2:C73,"3:45 AM",$E$2:E73,"N",$K$2:K73,"&lt;&gt;Y"),"")</f>
        <v/>
      </c>
      <c r="AF73" s="119">
        <f>IF(AND(AD73="Y",C73="5:45 AM",E73="N",K73&lt;&gt;"Y"),COUNTIFS($AD$2:AD73,"Y",$C$2:C73,"5:45 AM",$E$2:E73,"N",$K$2:K73,"&lt;&gt;Y"),"")</f>
        <v/>
      </c>
      <c r="AG73" s="119">
        <f>IF(AND(AD73="Y",C73="3:45 AM",E73="N",L73="Y",K73&lt;&gt;"Y"),COUNTIFS($AD$2:AD73,"Y",$C$2:C73,"3:45 AM",$E$2:E73,"N",$L$2:L73,"Y",$K$2:K73,"&lt;&gt;Y"),"")</f>
        <v/>
      </c>
      <c r="AH73" s="119">
        <f>IF(AND(AD73="Y",C73="5:45 AM",E73="N",L73="Y",K73&lt;&gt;"Y"),COUNTIFS($AD$2:AD73,"Y",$C$2:C73,"5:45 AM",$E$2:E73,"N",$L$2:L73,"Y",$K$2:K73,"&lt;&gt;Y"),"")</f>
        <v/>
      </c>
      <c r="AI73" s="119">
        <f>IF(AND(AD73="Y",E73="N",K73="Y",OR(C73="3:45 AM",C73="5:45 AM")),SUMPRODUCT(($AD$2:AD73="Y")*($E$2:E73="N")*($K$2:K73="Y")*(($C$2:C73="3:45 AM")+($C$2:C73="5:45 AM"))), "")</f>
        <v/>
      </c>
      <c r="AJ73" s="119">
        <f>IF(AND(AD73="Y",C73="3:45 AM",E73="N",J73="Y"),COUNTIFS($AD$2:AD73,"Y",$C$2:C73,"3:45 AM",$E$2:E73,"N",$J$2:J73,"Y"),"")</f>
        <v/>
      </c>
      <c r="AK73" s="119">
        <f>IF(AND(AD73="Y",E73="N",I73="Y",OR(C73="3:45 AM",C73="5:45 AM")),SUMPRODUCT(($AD$2:AD73="Y")*($E$2:E73="N")*($I$2:I73="Y")*(($C$2:C73="3:45 AM")+($C$2:C73="5:45 AM"))), "")</f>
        <v/>
      </c>
      <c r="AL73" s="119">
        <f>IF(AND(AD73="Y",C73="12:15 PM",E73="N",K73&lt;&gt;"Y"),COUNTIFS($AD$2:AD73,"Y",$C$2:C73,"12:15 PM",$E$2:E73,"N",$K$2:K73,"&lt;&gt;Y"),"")</f>
        <v/>
      </c>
      <c r="AM73" s="119">
        <f>IF(AND(AD73="Y",C73="2:00 PM",E73="N",K73&lt;&gt;"Y"),COUNTIFS($AD$2:AD73,"Y",$C$2:C73,"2:00 PM",$E$2:E73,"N",$K$2:K73,"&lt;&gt;Y"),"")</f>
        <v/>
      </c>
      <c r="AN73" s="119">
        <f>IF(AND(AD73="Y",E73="N",K73="Y",OR(C73="12:15 PM",C73="2:00 PM")),SUMPRODUCT(($AD$2:AD73="Y")*($E$2:E73="N")*($K$2:K73="Y")*(($C$2:C73="12:15 PM")+($C$2:C73="2:00 PM"))), "")</f>
        <v/>
      </c>
      <c r="AO73" s="119">
        <f>IF(AND(AD73="Y",C73="12:15 PM",E73="N",L73="Y"),COUNTIFS($AD$2:AD73,"Y",$C$2:C73,"12:15 PM",$E$2:E73,"N",$L$2:L73,"Y"),"")</f>
        <v/>
      </c>
      <c r="AP73" s="119">
        <f>IF(AND(AD73="Y",C73="2:00 PM",E73="N",L73="Y"),COUNTIFS($AD$2:AD73,"Y",$C$2:C73,"2:00 PM",$E$2:E73,"N",$L$2:L73,"Y"),"")</f>
        <v/>
      </c>
    </row>
    <row r="74" ht="14.25" customHeight="1" s="120">
      <c r="A74" s="231" t="inlineStr">
        <is>
          <t>EMP-0077</t>
        </is>
      </c>
      <c r="B74" s="232" t="inlineStr">
        <is>
          <t>Jessika Williams</t>
        </is>
      </c>
      <c r="C74" s="232" t="inlineStr">
        <is>
          <t>3:45 AM</t>
        </is>
      </c>
      <c r="D74" s="232" t="inlineStr">
        <is>
          <t>Tue, Wed</t>
        </is>
      </c>
      <c r="E74" s="232" t="inlineStr">
        <is>
          <t>N</t>
        </is>
      </c>
      <c r="F74" s="232" t="inlineStr">
        <is>
          <t>N</t>
        </is>
      </c>
      <c r="G74" s="232" t="inlineStr">
        <is>
          <t>Y</t>
        </is>
      </c>
      <c r="H74" s="232" t="inlineStr">
        <is>
          <t>None</t>
        </is>
      </c>
      <c r="I74" s="232" t="inlineStr">
        <is>
          <t>N</t>
        </is>
      </c>
      <c r="J74" s="232" t="inlineStr">
        <is>
          <t>Y</t>
        </is>
      </c>
      <c r="K74" s="232" t="inlineStr">
        <is>
          <t>N</t>
        </is>
      </c>
      <c r="L74" s="232" t="inlineStr">
        <is>
          <t>Y</t>
        </is>
      </c>
      <c r="M74" s="232" t="inlineStr">
        <is>
          <t>Standard</t>
        </is>
      </c>
      <c r="N74" s="232" t="n"/>
      <c r="O74" s="232" t="n"/>
      <c r="P74" s="232" t="inlineStr">
        <is>
          <t>N</t>
        </is>
      </c>
      <c r="Q74" s="232" t="n"/>
      <c r="R74" s="232" t="n"/>
      <c r="S74" s="232" t="n"/>
      <c r="T74" s="233" t="inlineStr">
        <is>
          <t>N</t>
        </is>
      </c>
      <c r="U74" s="227">
        <f>IF($B74="","",IF(AND($G74="Y",ISERROR(SEARCH(TEXT('Control Center'!$B$3,"ddd"),TRIM($D74)))),"Y","N"))</f>
        <v/>
      </c>
      <c r="V74" s="227">
        <f>IF($B74="","",IF(AND($U74="Y",OR($C74="3:45 AM",$C74="5:45 AM"),OR('Control Center'!$B$4="N",$K74&lt;&gt;"Y")),"Y","N"))</f>
        <v/>
      </c>
      <c r="W74" s="227">
        <f>IF($B74="","",IF(AND($U74="Y",OR($C74="12:15 PM",$C74="2:00 PM"),OR('Control Center'!$B$5="N",$K74&lt;&gt;"Y")),"Y","N"))</f>
        <v/>
      </c>
      <c r="X74" s="228" t="n"/>
      <c r="Y74" s="229" t="n"/>
      <c r="Z74" s="228" t="n"/>
      <c r="AA74" s="229" t="n"/>
      <c r="AB74" s="230">
        <f>IF($B74="","",IF($P74="Y",IF($Y74="Y","Completed","In Progress"),""))</f>
        <v/>
      </c>
      <c r="AC74" s="119">
        <f>IF($B74="","",IF(COUNTIFS('Approved Absences'!$A$2:$A$200,$B74,'Approved Absences'!$B$2:$B$200,"&lt;="&amp;INT('Control Center'!$B$3),'Approved Absences'!$C$2:$C$200,"&gt;="&amp;INT('Control Center'!$B$3))&gt;0,"Y","N"))</f>
        <v/>
      </c>
      <c r="AD74" s="119">
        <f>IF($B74="","",IF(AND($G74="Y",$AC74&lt;&gt;"Y",ISERROR(SEARCH(TEXT('Control Center'!$B$3,"ddd"),TRIM($D74)))),"Y","N"))</f>
        <v/>
      </c>
      <c r="AE74" s="119">
        <f>IF(AND(AD74="Y",C74="3:45 AM",E74="N",K74&lt;&gt;"Y"),COUNTIFS($AD$2:AD74,"Y",$C$2:C74,"3:45 AM",$E$2:E74,"N",$K$2:K74,"&lt;&gt;Y"),"")</f>
        <v/>
      </c>
      <c r="AF74" s="119">
        <f>IF(AND(AD74="Y",C74="5:45 AM",E74="N",K74&lt;&gt;"Y"),COUNTIFS($AD$2:AD74,"Y",$C$2:C74,"5:45 AM",$E$2:E74,"N",$K$2:K74,"&lt;&gt;Y"),"")</f>
        <v/>
      </c>
      <c r="AG74" s="119">
        <f>IF(AND(AD74="Y",C74="3:45 AM",E74="N",L74="Y",K74&lt;&gt;"Y"),COUNTIFS($AD$2:AD74,"Y",$C$2:C74,"3:45 AM",$E$2:E74,"N",$L$2:L74,"Y",$K$2:K74,"&lt;&gt;Y"),"")</f>
        <v/>
      </c>
      <c r="AH74" s="119">
        <f>IF(AND(AD74="Y",C74="5:45 AM",E74="N",L74="Y",K74&lt;&gt;"Y"),COUNTIFS($AD$2:AD74,"Y",$C$2:C74,"5:45 AM",$E$2:E74,"N",$L$2:L74,"Y",$K$2:K74,"&lt;&gt;Y"),"")</f>
        <v/>
      </c>
      <c r="AI74" s="119">
        <f>IF(AND(AD74="Y",E74="N",K74="Y",OR(C74="3:45 AM",C74="5:45 AM")),SUMPRODUCT(($AD$2:AD74="Y")*($E$2:E74="N")*($K$2:K74="Y")*(($C$2:C74="3:45 AM")+($C$2:C74="5:45 AM"))), "")</f>
        <v/>
      </c>
      <c r="AJ74" s="119">
        <f>IF(AND(AD74="Y",C74="3:45 AM",E74="N",J74="Y"),COUNTIFS($AD$2:AD74,"Y",$C$2:C74,"3:45 AM",$E$2:E74,"N",$J$2:J74,"Y"),"")</f>
        <v/>
      </c>
      <c r="AK74" s="119">
        <f>IF(AND(AD74="Y",E74="N",I74="Y",OR(C74="3:45 AM",C74="5:45 AM")),SUMPRODUCT(($AD$2:AD74="Y")*($E$2:E74="N")*($I$2:I74="Y")*(($C$2:C74="3:45 AM")+($C$2:C74="5:45 AM"))), "")</f>
        <v/>
      </c>
      <c r="AL74" s="119">
        <f>IF(AND(AD74="Y",C74="12:15 PM",E74="N",K74&lt;&gt;"Y"),COUNTIFS($AD$2:AD74,"Y",$C$2:C74,"12:15 PM",$E$2:E74,"N",$K$2:K74,"&lt;&gt;Y"),"")</f>
        <v/>
      </c>
      <c r="AM74" s="119">
        <f>IF(AND(AD74="Y",C74="2:00 PM",E74="N",K74&lt;&gt;"Y"),COUNTIFS($AD$2:AD74,"Y",$C$2:C74,"2:00 PM",$E$2:E74,"N",$K$2:K74,"&lt;&gt;Y"),"")</f>
        <v/>
      </c>
      <c r="AN74" s="119">
        <f>IF(AND(AD74="Y",E74="N",K74="Y",OR(C74="12:15 PM",C74="2:00 PM")),SUMPRODUCT(($AD$2:AD74="Y")*($E$2:E74="N")*($K$2:K74="Y")*(($C$2:C74="12:15 PM")+($C$2:C74="2:00 PM"))), "")</f>
        <v/>
      </c>
      <c r="AO74" s="119">
        <f>IF(AND(AD74="Y",C74="12:15 PM",E74="N",L74="Y"),COUNTIFS($AD$2:AD74,"Y",$C$2:C74,"12:15 PM",$E$2:E74,"N",$L$2:L74,"Y"),"")</f>
        <v/>
      </c>
      <c r="AP74" s="119">
        <f>IF(AND(AD74="Y",C74="2:00 PM",E74="N",L74="Y"),COUNTIFS($AD$2:AD74,"Y",$C$2:C74,"2:00 PM",$E$2:E74,"N",$L$2:L74,"Y"),"")</f>
        <v/>
      </c>
    </row>
    <row r="75" ht="14.25" customHeight="1" s="120">
      <c r="A75" s="231" t="inlineStr">
        <is>
          <t>EMP-0078</t>
        </is>
      </c>
      <c r="B75" s="232" t="inlineStr">
        <is>
          <t>John Davis</t>
        </is>
      </c>
      <c r="C75" s="232" t="inlineStr">
        <is>
          <t>12:15 PM</t>
        </is>
      </c>
      <c r="D75" s="232" t="inlineStr">
        <is>
          <t>Wed, Thu</t>
        </is>
      </c>
      <c r="E75" s="232" t="inlineStr">
        <is>
          <t>N</t>
        </is>
      </c>
      <c r="F75" s="232" t="inlineStr">
        <is>
          <t>N</t>
        </is>
      </c>
      <c r="G75" s="232" t="inlineStr">
        <is>
          <t>Y</t>
        </is>
      </c>
      <c r="H75" s="232" t="inlineStr">
        <is>
          <t>4:00 PM</t>
        </is>
      </c>
      <c r="I75" s="232" t="inlineStr">
        <is>
          <t>N</t>
        </is>
      </c>
      <c r="J75" s="232" t="inlineStr">
        <is>
          <t>N</t>
        </is>
      </c>
      <c r="K75" s="232" t="inlineStr">
        <is>
          <t>N</t>
        </is>
      </c>
      <c r="L75" s="232" t="inlineStr">
        <is>
          <t>Y</t>
        </is>
      </c>
      <c r="M75" s="232" t="inlineStr">
        <is>
          <t>Standard</t>
        </is>
      </c>
      <c r="N75" s="232" t="n"/>
      <c r="O75" s="232" t="n"/>
      <c r="P75" s="232" t="inlineStr">
        <is>
          <t>N</t>
        </is>
      </c>
      <c r="Q75" s="232" t="n"/>
      <c r="R75" s="232" t="n"/>
      <c r="S75" s="232" t="n"/>
      <c r="T75" s="233" t="inlineStr">
        <is>
          <t>N</t>
        </is>
      </c>
      <c r="U75" s="227">
        <f>IF($B75="","",IF(AND($G75="Y",ISERROR(SEARCH(TEXT('Control Center'!$B$3,"ddd"),TRIM($D75)))),"Y","N"))</f>
        <v/>
      </c>
      <c r="V75" s="227">
        <f>IF($B75="","",IF(AND($U75="Y",OR($C75="3:45 AM",$C75="5:45 AM"),OR('Control Center'!$B$4="N",$K75&lt;&gt;"Y")),"Y","N"))</f>
        <v/>
      </c>
      <c r="W75" s="227">
        <f>IF($B75="","",IF(AND($U75="Y",OR($C75="12:15 PM",$C75="2:00 PM"),OR('Control Center'!$B$5="N",$K75&lt;&gt;"Y")),"Y","N"))</f>
        <v/>
      </c>
      <c r="X75" s="228" t="n"/>
      <c r="Y75" s="229" t="n"/>
      <c r="Z75" s="228" t="n"/>
      <c r="AA75" s="229" t="n"/>
      <c r="AB75" s="230">
        <f>IF($B75="","",IF($P75="Y",IF($Y75="Y","Completed","In Progress"),""))</f>
        <v/>
      </c>
      <c r="AC75" s="119">
        <f>IF($B75="","",IF(COUNTIFS('Approved Absences'!$A$2:$A$200,$B75,'Approved Absences'!$B$2:$B$200,"&lt;="&amp;INT('Control Center'!$B$3),'Approved Absences'!$C$2:$C$200,"&gt;="&amp;INT('Control Center'!$B$3))&gt;0,"Y","N"))</f>
        <v/>
      </c>
      <c r="AD75" s="119">
        <f>IF($B75="","",IF(AND($G75="Y",$AC75&lt;&gt;"Y",ISERROR(SEARCH(TEXT('Control Center'!$B$3,"ddd"),TRIM($D75)))),"Y","N"))</f>
        <v/>
      </c>
      <c r="AE75" s="119">
        <f>IF(AND(AD75="Y",C75="3:45 AM",E75="N",K75&lt;&gt;"Y"),COUNTIFS($AD$2:AD75,"Y",$C$2:C75,"3:45 AM",$E$2:E75,"N",$K$2:K75,"&lt;&gt;Y"),"")</f>
        <v/>
      </c>
      <c r="AF75" s="119">
        <f>IF(AND(AD75="Y",C75="5:45 AM",E75="N",K75&lt;&gt;"Y"),COUNTIFS($AD$2:AD75,"Y",$C$2:C75,"5:45 AM",$E$2:E75,"N",$K$2:K75,"&lt;&gt;Y"),"")</f>
        <v/>
      </c>
      <c r="AG75" s="119">
        <f>IF(AND(AD75="Y",C75="3:45 AM",E75="N",L75="Y",K75&lt;&gt;"Y"),COUNTIFS($AD$2:AD75,"Y",$C$2:C75,"3:45 AM",$E$2:E75,"N",$L$2:L75,"Y",$K$2:K75,"&lt;&gt;Y"),"")</f>
        <v/>
      </c>
      <c r="AH75" s="119">
        <f>IF(AND(AD75="Y",C75="5:45 AM",E75="N",L75="Y",K75&lt;&gt;"Y"),COUNTIFS($AD$2:AD75,"Y",$C$2:C75,"5:45 AM",$E$2:E75,"N",$L$2:L75,"Y",$K$2:K75,"&lt;&gt;Y"),"")</f>
        <v/>
      </c>
      <c r="AI75" s="119">
        <f>IF(AND(AD75="Y",E75="N",K75="Y",OR(C75="3:45 AM",C75="5:45 AM")),SUMPRODUCT(($AD$2:AD75="Y")*($E$2:E75="N")*($K$2:K75="Y")*(($C$2:C75="3:45 AM")+($C$2:C75="5:45 AM"))), "")</f>
        <v/>
      </c>
      <c r="AJ75" s="119">
        <f>IF(AND(AD75="Y",C75="3:45 AM",E75="N",J75="Y"),COUNTIFS($AD$2:AD75,"Y",$C$2:C75,"3:45 AM",$E$2:E75,"N",$J$2:J75,"Y"),"")</f>
        <v/>
      </c>
      <c r="AK75" s="119">
        <f>IF(AND(AD75="Y",E75="N",I75="Y",OR(C75="3:45 AM",C75="5:45 AM")),SUMPRODUCT(($AD$2:AD75="Y")*($E$2:E75="N")*($I$2:I75="Y")*(($C$2:C75="3:45 AM")+($C$2:C75="5:45 AM"))), "")</f>
        <v/>
      </c>
      <c r="AL75" s="119">
        <f>IF(AND(AD75="Y",C75="12:15 PM",E75="N",K75&lt;&gt;"Y"),COUNTIFS($AD$2:AD75,"Y",$C$2:C75,"12:15 PM",$E$2:E75,"N",$K$2:K75,"&lt;&gt;Y"),"")</f>
        <v/>
      </c>
      <c r="AM75" s="119">
        <f>IF(AND(AD75="Y",C75="2:00 PM",E75="N",K75&lt;&gt;"Y"),COUNTIFS($AD$2:AD75,"Y",$C$2:C75,"2:00 PM",$E$2:E75,"N",$K$2:K75,"&lt;&gt;Y"),"")</f>
        <v/>
      </c>
      <c r="AN75" s="119">
        <f>IF(AND(AD75="Y",E75="N",K75="Y",OR(C75="12:15 PM",C75="2:00 PM")),SUMPRODUCT(($AD$2:AD75="Y")*($E$2:E75="N")*($K$2:K75="Y")*(($C$2:C75="12:15 PM")+($C$2:C75="2:00 PM"))), "")</f>
        <v/>
      </c>
      <c r="AO75" s="119">
        <f>IF(AND(AD75="Y",C75="12:15 PM",E75="N",L75="Y"),COUNTIFS($AD$2:AD75,"Y",$C$2:C75,"12:15 PM",$E$2:E75,"N",$L$2:L75,"Y"),"")</f>
        <v/>
      </c>
      <c r="AP75" s="119">
        <f>IF(AND(AD75="Y",C75="2:00 PM",E75="N",L75="Y"),COUNTIFS($AD$2:AD75,"Y",$C$2:C75,"2:00 PM",$E$2:E75,"N",$L$2:L75,"Y"),"")</f>
        <v/>
      </c>
    </row>
    <row r="76" ht="14.25" customHeight="1" s="120">
      <c r="A76" s="231" t="inlineStr">
        <is>
          <t>EMP-0079</t>
        </is>
      </c>
      <c r="B76" s="232" t="inlineStr">
        <is>
          <t>Kaba Diop</t>
        </is>
      </c>
      <c r="C76" s="232" t="inlineStr">
        <is>
          <t>12:15 PM</t>
        </is>
      </c>
      <c r="D76" s="232" t="inlineStr">
        <is>
          <t>Tue, Wed</t>
        </is>
      </c>
      <c r="E76" s="232" t="inlineStr">
        <is>
          <t>N</t>
        </is>
      </c>
      <c r="F76" s="232" t="inlineStr">
        <is>
          <t>N</t>
        </is>
      </c>
      <c r="G76" s="232" t="inlineStr">
        <is>
          <t>Y</t>
        </is>
      </c>
      <c r="H76" s="232" t="inlineStr">
        <is>
          <t>None</t>
        </is>
      </c>
      <c r="I76" s="232" t="inlineStr">
        <is>
          <t>N</t>
        </is>
      </c>
      <c r="J76" s="232" t="inlineStr">
        <is>
          <t>N</t>
        </is>
      </c>
      <c r="K76" s="232" t="inlineStr">
        <is>
          <t>Y</t>
        </is>
      </c>
      <c r="L76" s="232" t="inlineStr">
        <is>
          <t>Y</t>
        </is>
      </c>
      <c r="M76" s="232" t="inlineStr">
        <is>
          <t>Standard</t>
        </is>
      </c>
      <c r="N76" s="232" t="n"/>
      <c r="O76" s="232" t="n"/>
      <c r="P76" s="232" t="inlineStr">
        <is>
          <t>N</t>
        </is>
      </c>
      <c r="Q76" s="232" t="n"/>
      <c r="R76" s="232" t="n"/>
      <c r="S76" s="232" t="n"/>
      <c r="T76" s="233" t="inlineStr">
        <is>
          <t>N</t>
        </is>
      </c>
      <c r="U76" s="227">
        <f>IF($B76="","",IF(AND($G76="Y",ISERROR(SEARCH(TEXT('Control Center'!$B$3,"ddd"),TRIM($D76)))),"Y","N"))</f>
        <v/>
      </c>
      <c r="V76" s="227">
        <f>IF($B76="","",IF(AND($U76="Y",OR($C76="3:45 AM",$C76="5:45 AM"),OR('Control Center'!$B$4="N",$K76&lt;&gt;"Y")),"Y","N"))</f>
        <v/>
      </c>
      <c r="W76" s="227">
        <f>IF($B76="","",IF(AND($U76="Y",OR($C76="12:15 PM",$C76="2:00 PM"),OR('Control Center'!$B$5="N",$K76&lt;&gt;"Y")),"Y","N"))</f>
        <v/>
      </c>
      <c r="X76" s="228" t="n"/>
      <c r="Y76" s="229" t="n"/>
      <c r="Z76" s="228" t="n"/>
      <c r="AA76" s="229" t="n"/>
      <c r="AB76" s="230">
        <f>IF($B76="","",IF($P76="Y",IF($Y76="Y","Completed","In Progress"),""))</f>
        <v/>
      </c>
      <c r="AC76" s="119">
        <f>IF($B76="","",IF(COUNTIFS('Approved Absences'!$A$2:$A$200,$B76,'Approved Absences'!$B$2:$B$200,"&lt;="&amp;INT('Control Center'!$B$3),'Approved Absences'!$C$2:$C$200,"&gt;="&amp;INT('Control Center'!$B$3))&gt;0,"Y","N"))</f>
        <v/>
      </c>
      <c r="AD76" s="119">
        <f>IF($B76="","",IF(AND($G76="Y",$AC76&lt;&gt;"Y",ISERROR(SEARCH(TEXT('Control Center'!$B$3,"ddd"),TRIM($D76)))),"Y","N"))</f>
        <v/>
      </c>
      <c r="AE76" s="119">
        <f>IF(AND(AD76="Y",C76="3:45 AM",E76="N",K76&lt;&gt;"Y"),COUNTIFS($AD$2:AD76,"Y",$C$2:C76,"3:45 AM",$E$2:E76,"N",$K$2:K76,"&lt;&gt;Y"),"")</f>
        <v/>
      </c>
      <c r="AF76" s="119">
        <f>IF(AND(AD76="Y",C76="5:45 AM",E76="N",K76&lt;&gt;"Y"),COUNTIFS($AD$2:AD76,"Y",$C$2:C76,"5:45 AM",$E$2:E76,"N",$K$2:K76,"&lt;&gt;Y"),"")</f>
        <v/>
      </c>
      <c r="AG76" s="119">
        <f>IF(AND(AD76="Y",C76="3:45 AM",E76="N",L76="Y",K76&lt;&gt;"Y"),COUNTIFS($AD$2:AD76,"Y",$C$2:C76,"3:45 AM",$E$2:E76,"N",$L$2:L76,"Y",$K$2:K76,"&lt;&gt;Y"),"")</f>
        <v/>
      </c>
      <c r="AH76" s="119">
        <f>IF(AND(AD76="Y",C76="5:45 AM",E76="N",L76="Y",K76&lt;&gt;"Y"),COUNTIFS($AD$2:AD76,"Y",$C$2:C76,"5:45 AM",$E$2:E76,"N",$L$2:L76,"Y",$K$2:K76,"&lt;&gt;Y"),"")</f>
        <v/>
      </c>
      <c r="AI76" s="119">
        <f>IF(AND(AD76="Y",E76="N",K76="Y",OR(C76="3:45 AM",C76="5:45 AM")),SUMPRODUCT(($AD$2:AD76="Y")*($E$2:E76="N")*($K$2:K76="Y")*(($C$2:C76="3:45 AM")+($C$2:C76="5:45 AM"))), "")</f>
        <v/>
      </c>
      <c r="AJ76" s="119">
        <f>IF(AND(AD76="Y",C76="3:45 AM",E76="N",J76="Y"),COUNTIFS($AD$2:AD76,"Y",$C$2:C76,"3:45 AM",$E$2:E76,"N",$J$2:J76,"Y"),"")</f>
        <v/>
      </c>
      <c r="AK76" s="119">
        <f>IF(AND(AD76="Y",E76="N",I76="Y",OR(C76="3:45 AM",C76="5:45 AM")),SUMPRODUCT(($AD$2:AD76="Y")*($E$2:E76="N")*($I$2:I76="Y")*(($C$2:C76="3:45 AM")+($C$2:C76="5:45 AM"))), "")</f>
        <v/>
      </c>
      <c r="AL76" s="119">
        <f>IF(AND(AD76="Y",C76="12:15 PM",E76="N",K76&lt;&gt;"Y"),COUNTIFS($AD$2:AD76,"Y",$C$2:C76,"12:15 PM",$E$2:E76,"N",$K$2:K76,"&lt;&gt;Y"),"")</f>
        <v/>
      </c>
      <c r="AM76" s="119">
        <f>IF(AND(AD76="Y",C76="2:00 PM",E76="N",K76&lt;&gt;"Y"),COUNTIFS($AD$2:AD76,"Y",$C$2:C76,"2:00 PM",$E$2:E76,"N",$K$2:K76,"&lt;&gt;Y"),"")</f>
        <v/>
      </c>
      <c r="AN76" s="119">
        <f>IF(AND(AD76="Y",E76="N",K76="Y",OR(C76="12:15 PM",C76="2:00 PM")),SUMPRODUCT(($AD$2:AD76="Y")*($E$2:E76="N")*($K$2:K76="Y")*(($C$2:C76="12:15 PM")+($C$2:C76="2:00 PM"))), "")</f>
        <v/>
      </c>
      <c r="AO76" s="119">
        <f>IF(AND(AD76="Y",C76="12:15 PM",E76="N",L76="Y"),COUNTIFS($AD$2:AD76,"Y",$C$2:C76,"12:15 PM",$E$2:E76,"N",$L$2:L76,"Y"),"")</f>
        <v/>
      </c>
      <c r="AP76" s="119">
        <f>IF(AND(AD76="Y",C76="2:00 PM",E76="N",L76="Y"),COUNTIFS($AD$2:AD76,"Y",$C$2:C76,"2:00 PM",$E$2:E76,"N",$L$2:L76,"Y"),"")</f>
        <v/>
      </c>
    </row>
    <row r="77" ht="14.25" customHeight="1" s="120">
      <c r="A77" s="231" t="inlineStr">
        <is>
          <t>EMP-0080</t>
        </is>
      </c>
      <c r="B77" s="232" t="inlineStr">
        <is>
          <t>Kaci Cosper</t>
        </is>
      </c>
      <c r="C77" s="232" t="inlineStr">
        <is>
          <t>2:00 PM</t>
        </is>
      </c>
      <c r="D77" s="232" t="inlineStr">
        <is>
          <t>Wed, Thu</t>
        </is>
      </c>
      <c r="E77" s="232" t="inlineStr">
        <is>
          <t>N</t>
        </is>
      </c>
      <c r="F77" s="232" t="inlineStr">
        <is>
          <t>N</t>
        </is>
      </c>
      <c r="G77" s="232" t="inlineStr">
        <is>
          <t>Y</t>
        </is>
      </c>
      <c r="H77" s="232" t="inlineStr">
        <is>
          <t>None</t>
        </is>
      </c>
      <c r="I77" s="232" t="inlineStr">
        <is>
          <t>N</t>
        </is>
      </c>
      <c r="J77" s="232" t="inlineStr">
        <is>
          <t>Y</t>
        </is>
      </c>
      <c r="K77" s="232" t="inlineStr">
        <is>
          <t>N</t>
        </is>
      </c>
      <c r="L77" s="232" t="inlineStr">
        <is>
          <t>Y</t>
        </is>
      </c>
      <c r="M77" s="232" t="inlineStr">
        <is>
          <t>Standard</t>
        </is>
      </c>
      <c r="N77" s="232" t="n"/>
      <c r="O77" s="232" t="n"/>
      <c r="P77" s="232" t="inlineStr">
        <is>
          <t>N</t>
        </is>
      </c>
      <c r="Q77" s="232" t="n"/>
      <c r="R77" s="232" t="n"/>
      <c r="S77" s="232" t="n"/>
      <c r="T77" s="233" t="inlineStr">
        <is>
          <t>N</t>
        </is>
      </c>
      <c r="U77" s="227">
        <f>IF($B77="","",IF(AND($G77="Y",ISERROR(SEARCH(TEXT('Control Center'!$B$3,"ddd"),TRIM($D77)))),"Y","N"))</f>
        <v/>
      </c>
      <c r="V77" s="227">
        <f>IF($B77="","",IF(AND($U77="Y",OR($C77="3:45 AM",$C77="5:45 AM"),OR('Control Center'!$B$4="N",$K77&lt;&gt;"Y")),"Y","N"))</f>
        <v/>
      </c>
      <c r="W77" s="227">
        <f>IF($B77="","",IF(AND($U77="Y",OR($C77="12:15 PM",$C77="2:00 PM"),OR('Control Center'!$B$5="N",$K77&lt;&gt;"Y")),"Y","N"))</f>
        <v/>
      </c>
      <c r="X77" s="228" t="n"/>
      <c r="Y77" s="229" t="n"/>
      <c r="Z77" s="228" t="n"/>
      <c r="AA77" s="229" t="n"/>
      <c r="AB77" s="230">
        <f>IF($B77="","",IF($P77="Y",IF($Y77="Y","Completed","In Progress"),""))</f>
        <v/>
      </c>
      <c r="AC77" s="119">
        <f>IF($B77="","",IF(COUNTIFS('Approved Absences'!$A$2:$A$200,$B77,'Approved Absences'!$B$2:$B$200,"&lt;="&amp;INT('Control Center'!$B$3),'Approved Absences'!$C$2:$C$200,"&gt;="&amp;INT('Control Center'!$B$3))&gt;0,"Y","N"))</f>
        <v/>
      </c>
      <c r="AD77" s="119">
        <f>IF($B77="","",IF(AND($G77="Y",$AC77&lt;&gt;"Y",ISERROR(SEARCH(TEXT('Control Center'!$B$3,"ddd"),TRIM($D77)))),"Y","N"))</f>
        <v/>
      </c>
      <c r="AE77" s="119">
        <f>IF(AND(AD77="Y",C77="3:45 AM",E77="N",K77&lt;&gt;"Y"),COUNTIFS($AD$2:AD77,"Y",$C$2:C77,"3:45 AM",$E$2:E77,"N",$K$2:K77,"&lt;&gt;Y"),"")</f>
        <v/>
      </c>
      <c r="AF77" s="119">
        <f>IF(AND(AD77="Y",C77="5:45 AM",E77="N",K77&lt;&gt;"Y"),COUNTIFS($AD$2:AD77,"Y",$C$2:C77,"5:45 AM",$E$2:E77,"N",$K$2:K77,"&lt;&gt;Y"),"")</f>
        <v/>
      </c>
      <c r="AG77" s="119">
        <f>IF(AND(AD77="Y",C77="3:45 AM",E77="N",L77="Y",K77&lt;&gt;"Y"),COUNTIFS($AD$2:AD77,"Y",$C$2:C77,"3:45 AM",$E$2:E77,"N",$L$2:L77,"Y",$K$2:K77,"&lt;&gt;Y"),"")</f>
        <v/>
      </c>
      <c r="AH77" s="119">
        <f>IF(AND(AD77="Y",C77="5:45 AM",E77="N",L77="Y",K77&lt;&gt;"Y"),COUNTIFS($AD$2:AD77,"Y",$C$2:C77,"5:45 AM",$E$2:E77,"N",$L$2:L77,"Y",$K$2:K77,"&lt;&gt;Y"),"")</f>
        <v/>
      </c>
      <c r="AI77" s="119">
        <f>IF(AND(AD77="Y",E77="N",K77="Y",OR(C77="3:45 AM",C77="5:45 AM")),SUMPRODUCT(($AD$2:AD77="Y")*($E$2:E77="N")*($K$2:K77="Y")*(($C$2:C77="3:45 AM")+($C$2:C77="5:45 AM"))), "")</f>
        <v/>
      </c>
      <c r="AJ77" s="119">
        <f>IF(AND(AD77="Y",C77="3:45 AM",E77="N",J77="Y"),COUNTIFS($AD$2:AD77,"Y",$C$2:C77,"3:45 AM",$E$2:E77,"N",$J$2:J77,"Y"),"")</f>
        <v/>
      </c>
      <c r="AK77" s="119">
        <f>IF(AND(AD77="Y",E77="N",I77="Y",OR(C77="3:45 AM",C77="5:45 AM")),SUMPRODUCT(($AD$2:AD77="Y")*($E$2:E77="N")*($I$2:I77="Y")*(($C$2:C77="3:45 AM")+($C$2:C77="5:45 AM"))), "")</f>
        <v/>
      </c>
      <c r="AL77" s="119">
        <f>IF(AND(AD77="Y",C77="12:15 PM",E77="N",K77&lt;&gt;"Y"),COUNTIFS($AD$2:AD77,"Y",$C$2:C77,"12:15 PM",$E$2:E77,"N",$K$2:K77,"&lt;&gt;Y"),"")</f>
        <v/>
      </c>
      <c r="AM77" s="119">
        <f>IF(AND(AD77="Y",C77="2:00 PM",E77="N",K77&lt;&gt;"Y"),COUNTIFS($AD$2:AD77,"Y",$C$2:C77,"2:00 PM",$E$2:E77,"N",$K$2:K77,"&lt;&gt;Y"),"")</f>
        <v/>
      </c>
      <c r="AN77" s="119">
        <f>IF(AND(AD77="Y",E77="N",K77="Y",OR(C77="12:15 PM",C77="2:00 PM")),SUMPRODUCT(($AD$2:AD77="Y")*($E$2:E77="N")*($K$2:K77="Y")*(($C$2:C77="12:15 PM")+($C$2:C77="2:00 PM"))), "")</f>
        <v/>
      </c>
      <c r="AO77" s="119">
        <f>IF(AND(AD77="Y",C77="12:15 PM",E77="N",L77="Y"),COUNTIFS($AD$2:AD77,"Y",$C$2:C77,"12:15 PM",$E$2:E77,"N",$L$2:L77,"Y"),"")</f>
        <v/>
      </c>
      <c r="AP77" s="119">
        <f>IF(AND(AD77="Y",C77="2:00 PM",E77="N",L77="Y"),COUNTIFS($AD$2:AD77,"Y",$C$2:C77,"2:00 PM",$E$2:E77,"N",$L$2:L77,"Y"),"")</f>
        <v/>
      </c>
    </row>
    <row r="78" ht="14.25" customHeight="1" s="120">
      <c r="A78" s="231" t="inlineStr">
        <is>
          <t>EMP-0081</t>
        </is>
      </c>
      <c r="B78" s="232" t="inlineStr">
        <is>
          <t>Keera Moore</t>
        </is>
      </c>
      <c r="C78" s="232" t="inlineStr">
        <is>
          <t>3:45 AM</t>
        </is>
      </c>
      <c r="D78" s="232" t="inlineStr">
        <is>
          <t>Thu, Fri</t>
        </is>
      </c>
      <c r="E78" s="232" t="inlineStr">
        <is>
          <t>Y</t>
        </is>
      </c>
      <c r="F78" s="232" t="inlineStr">
        <is>
          <t>N</t>
        </is>
      </c>
      <c r="G78" s="232" t="inlineStr">
        <is>
          <t>Y</t>
        </is>
      </c>
      <c r="H78" s="232" t="inlineStr">
        <is>
          <t>None</t>
        </is>
      </c>
      <c r="I78" s="232" t="inlineStr">
        <is>
          <t>N</t>
        </is>
      </c>
      <c r="J78" s="232" t="inlineStr">
        <is>
          <t>N</t>
        </is>
      </c>
      <c r="K78" s="232" t="inlineStr">
        <is>
          <t>N</t>
        </is>
      </c>
      <c r="L78" s="232" t="inlineStr">
        <is>
          <t>Y</t>
        </is>
      </c>
      <c r="M78" s="232" t="inlineStr">
        <is>
          <t>Standard</t>
        </is>
      </c>
      <c r="N78" s="232" t="n"/>
      <c r="O78" s="232" t="n"/>
      <c r="P78" s="232" t="inlineStr">
        <is>
          <t>N</t>
        </is>
      </c>
      <c r="Q78" s="232" t="n"/>
      <c r="R78" s="232" t="n"/>
      <c r="S78" s="232" t="n"/>
      <c r="T78" s="233" t="inlineStr">
        <is>
          <t>N</t>
        </is>
      </c>
      <c r="U78" s="227">
        <f>IF($B78="","",IF(AND($G78="Y",ISERROR(SEARCH(TEXT('Control Center'!$B$3,"ddd"),TRIM($D78)))),"Y","N"))</f>
        <v/>
      </c>
      <c r="V78" s="227">
        <f>IF($B78="","",IF(AND($U78="Y",OR($C78="3:45 AM",$C78="5:45 AM"),OR('Control Center'!$B$4="N",$K78&lt;&gt;"Y")),"Y","N"))</f>
        <v/>
      </c>
      <c r="W78" s="227">
        <f>IF($B78="","",IF(AND($U78="Y",OR($C78="12:15 PM",$C78="2:00 PM"),OR('Control Center'!$B$5="N",$K78&lt;&gt;"Y")),"Y","N"))</f>
        <v/>
      </c>
      <c r="X78" s="228" t="n"/>
      <c r="Y78" s="229" t="n"/>
      <c r="Z78" s="228" t="n"/>
      <c r="AA78" s="229" t="n"/>
      <c r="AB78" s="230">
        <f>IF($B78="","",IF($P78="Y",IF($Y78="Y","Completed","In Progress"),""))</f>
        <v/>
      </c>
      <c r="AC78" s="119">
        <f>IF($B78="","",IF(COUNTIFS('Approved Absences'!$A$2:$A$200,$B78,'Approved Absences'!$B$2:$B$200,"&lt;="&amp;INT('Control Center'!$B$3),'Approved Absences'!$C$2:$C$200,"&gt;="&amp;INT('Control Center'!$B$3))&gt;0,"Y","N"))</f>
        <v/>
      </c>
      <c r="AD78" s="119">
        <f>IF($B78="","",IF(AND($G78="Y",$AC78&lt;&gt;"Y",ISERROR(SEARCH(TEXT('Control Center'!$B$3,"ddd"),TRIM($D78)))),"Y","N"))</f>
        <v/>
      </c>
      <c r="AE78" s="119">
        <f>IF(AND(AD78="Y",C78="3:45 AM",E78="N",K78&lt;&gt;"Y"),COUNTIFS($AD$2:AD78,"Y",$C$2:C78,"3:45 AM",$E$2:E78,"N",$K$2:K78,"&lt;&gt;Y"),"")</f>
        <v/>
      </c>
      <c r="AF78" s="119">
        <f>IF(AND(AD78="Y",C78="5:45 AM",E78="N",K78&lt;&gt;"Y"),COUNTIFS($AD$2:AD78,"Y",$C$2:C78,"5:45 AM",$E$2:E78,"N",$K$2:K78,"&lt;&gt;Y"),"")</f>
        <v/>
      </c>
      <c r="AG78" s="119">
        <f>IF(AND(AD78="Y",C78="3:45 AM",E78="N",L78="Y",K78&lt;&gt;"Y"),COUNTIFS($AD$2:AD78,"Y",$C$2:C78,"3:45 AM",$E$2:E78,"N",$L$2:L78,"Y",$K$2:K78,"&lt;&gt;Y"),"")</f>
        <v/>
      </c>
      <c r="AH78" s="119">
        <f>IF(AND(AD78="Y",C78="5:45 AM",E78="N",L78="Y",K78&lt;&gt;"Y"),COUNTIFS($AD$2:AD78,"Y",$C$2:C78,"5:45 AM",$E$2:E78,"N",$L$2:L78,"Y",$K$2:K78,"&lt;&gt;Y"),"")</f>
        <v/>
      </c>
      <c r="AI78" s="119">
        <f>IF(AND(AD78="Y",E78="N",K78="Y",OR(C78="3:45 AM",C78="5:45 AM")),SUMPRODUCT(($AD$2:AD78="Y")*($E$2:E78="N")*($K$2:K78="Y")*(($C$2:C78="3:45 AM")+($C$2:C78="5:45 AM"))), "")</f>
        <v/>
      </c>
      <c r="AJ78" s="119">
        <f>IF(AND(AD78="Y",C78="3:45 AM",E78="N",J78="Y"),COUNTIFS($AD$2:AD78,"Y",$C$2:C78,"3:45 AM",$E$2:E78,"N",$J$2:J78,"Y"),"")</f>
        <v/>
      </c>
      <c r="AK78" s="119">
        <f>IF(AND(AD78="Y",E78="N",I78="Y",OR(C78="3:45 AM",C78="5:45 AM")),SUMPRODUCT(($AD$2:AD78="Y")*($E$2:E78="N")*($I$2:I78="Y")*(($C$2:C78="3:45 AM")+($C$2:C78="5:45 AM"))), "")</f>
        <v/>
      </c>
      <c r="AL78" s="119">
        <f>IF(AND(AD78="Y",C78="12:15 PM",E78="N",K78&lt;&gt;"Y"),COUNTIFS($AD$2:AD78,"Y",$C$2:C78,"12:15 PM",$E$2:E78,"N",$K$2:K78,"&lt;&gt;Y"),"")</f>
        <v/>
      </c>
      <c r="AM78" s="119">
        <f>IF(AND(AD78="Y",C78="2:00 PM",E78="N",K78&lt;&gt;"Y"),COUNTIFS($AD$2:AD78,"Y",$C$2:C78,"2:00 PM",$E$2:E78,"N",$K$2:K78,"&lt;&gt;Y"),"")</f>
        <v/>
      </c>
      <c r="AN78" s="119">
        <f>IF(AND(AD78="Y",E78="N",K78="Y",OR(C78="12:15 PM",C78="2:00 PM")),SUMPRODUCT(($AD$2:AD78="Y")*($E$2:E78="N")*($K$2:K78="Y")*(($C$2:C78="12:15 PM")+($C$2:C78="2:00 PM"))), "")</f>
        <v/>
      </c>
      <c r="AO78" s="119">
        <f>IF(AND(AD78="Y",C78="12:15 PM",E78="N",L78="Y"),COUNTIFS($AD$2:AD78,"Y",$C$2:C78,"12:15 PM",$E$2:E78,"N",$L$2:L78,"Y"),"")</f>
        <v/>
      </c>
      <c r="AP78" s="119">
        <f>IF(AND(AD78="Y",C78="2:00 PM",E78="N",L78="Y"),COUNTIFS($AD$2:AD78,"Y",$C$2:C78,"2:00 PM",$E$2:E78,"N",$L$2:L78,"Y"),"")</f>
        <v/>
      </c>
    </row>
    <row r="79" ht="14.25" customHeight="1" s="120">
      <c r="A79" s="231" t="inlineStr">
        <is>
          <t>EMP-0082</t>
        </is>
      </c>
      <c r="B79" s="232" t="inlineStr">
        <is>
          <t>Kelon Arnold</t>
        </is>
      </c>
      <c r="C79" s="232" t="inlineStr">
        <is>
          <t>3:45 AM</t>
        </is>
      </c>
      <c r="D79" s="232" t="inlineStr">
        <is>
          <t>Sun, Mon</t>
        </is>
      </c>
      <c r="E79" s="232" t="inlineStr">
        <is>
          <t>N</t>
        </is>
      </c>
      <c r="F79" s="232" t="inlineStr">
        <is>
          <t>N</t>
        </is>
      </c>
      <c r="G79" s="232" t="inlineStr">
        <is>
          <t>Y</t>
        </is>
      </c>
      <c r="H79" s="232" t="inlineStr">
        <is>
          <t>None</t>
        </is>
      </c>
      <c r="I79" s="232" t="inlineStr">
        <is>
          <t>N</t>
        </is>
      </c>
      <c r="J79" s="232" t="inlineStr">
        <is>
          <t>N</t>
        </is>
      </c>
      <c r="K79" s="232" t="inlineStr">
        <is>
          <t>Y</t>
        </is>
      </c>
      <c r="L79" s="232" t="inlineStr">
        <is>
          <t>N</t>
        </is>
      </c>
      <c r="M79" s="232" t="inlineStr">
        <is>
          <t>Standard</t>
        </is>
      </c>
      <c r="N79" s="232" t="n"/>
      <c r="O79" s="232" t="n"/>
      <c r="P79" s="232" t="inlineStr">
        <is>
          <t>N</t>
        </is>
      </c>
      <c r="Q79" s="232" t="n"/>
      <c r="R79" s="232" t="n"/>
      <c r="S79" s="232" t="n"/>
      <c r="T79" s="233" t="inlineStr">
        <is>
          <t>N</t>
        </is>
      </c>
      <c r="U79" s="227">
        <f>IF($B79="","",IF(AND($G79="Y",ISERROR(SEARCH(TEXT('Control Center'!$B$3,"ddd"),TRIM($D79)))),"Y","N"))</f>
        <v/>
      </c>
      <c r="V79" s="227">
        <f>IF($B79="","",IF(AND($U79="Y",OR($C79="3:45 AM",$C79="5:45 AM"),OR('Control Center'!$B$4="N",$K79&lt;&gt;"Y")),"Y","N"))</f>
        <v/>
      </c>
      <c r="W79" s="227">
        <f>IF($B79="","",IF(AND($U79="Y",OR($C79="12:15 PM",$C79="2:00 PM"),OR('Control Center'!$B$5="N",$K79&lt;&gt;"Y")),"Y","N"))</f>
        <v/>
      </c>
      <c r="X79" s="228" t="n"/>
      <c r="Y79" s="229" t="n"/>
      <c r="Z79" s="228" t="n"/>
      <c r="AA79" s="229" t="n"/>
      <c r="AB79" s="230">
        <f>IF($B79="","",IF($P79="Y",IF($Y79="Y","Completed","In Progress"),""))</f>
        <v/>
      </c>
      <c r="AC79" s="119">
        <f>IF($B79="","",IF(COUNTIFS('Approved Absences'!$A$2:$A$200,$B79,'Approved Absences'!$B$2:$B$200,"&lt;="&amp;INT('Control Center'!$B$3),'Approved Absences'!$C$2:$C$200,"&gt;="&amp;INT('Control Center'!$B$3))&gt;0,"Y","N"))</f>
        <v/>
      </c>
      <c r="AD79" s="119">
        <f>IF($B79="","",IF(AND($G79="Y",$AC79&lt;&gt;"Y",ISERROR(SEARCH(TEXT('Control Center'!$B$3,"ddd"),TRIM($D79)))),"Y","N"))</f>
        <v/>
      </c>
      <c r="AE79" s="119">
        <f>IF(AND(AD79="Y",C79="3:45 AM",E79="N",K79&lt;&gt;"Y"),COUNTIFS($AD$2:AD79,"Y",$C$2:C79,"3:45 AM",$E$2:E79,"N",$K$2:K79,"&lt;&gt;Y"),"")</f>
        <v/>
      </c>
      <c r="AF79" s="119">
        <f>IF(AND(AD79="Y",C79="5:45 AM",E79="N",K79&lt;&gt;"Y"),COUNTIFS($AD$2:AD79,"Y",$C$2:C79,"5:45 AM",$E$2:E79,"N",$K$2:K79,"&lt;&gt;Y"),"")</f>
        <v/>
      </c>
      <c r="AG79" s="119">
        <f>IF(AND(AD79="Y",C79="3:45 AM",E79="N",L79="Y",K79&lt;&gt;"Y"),COUNTIFS($AD$2:AD79,"Y",$C$2:C79,"3:45 AM",$E$2:E79,"N",$L$2:L79,"Y",$K$2:K79,"&lt;&gt;Y"),"")</f>
        <v/>
      </c>
      <c r="AH79" s="119">
        <f>IF(AND(AD79="Y",C79="5:45 AM",E79="N",L79="Y",K79&lt;&gt;"Y"),COUNTIFS($AD$2:AD79,"Y",$C$2:C79,"5:45 AM",$E$2:E79,"N",$L$2:L79,"Y",$K$2:K79,"&lt;&gt;Y"),"")</f>
        <v/>
      </c>
      <c r="AI79" s="119">
        <f>IF(AND(AD79="Y",E79="N",K79="Y",OR(C79="3:45 AM",C79="5:45 AM")),SUMPRODUCT(($AD$2:AD79="Y")*($E$2:E79="N")*($K$2:K79="Y")*(($C$2:C79="3:45 AM")+($C$2:C79="5:45 AM"))), "")</f>
        <v/>
      </c>
      <c r="AJ79" s="119">
        <f>IF(AND(AD79="Y",C79="3:45 AM",E79="N",J79="Y"),COUNTIFS($AD$2:AD79,"Y",$C$2:C79,"3:45 AM",$E$2:E79,"N",$J$2:J79,"Y"),"")</f>
        <v/>
      </c>
      <c r="AK79" s="119">
        <f>IF(AND(AD79="Y",E79="N",I79="Y",OR(C79="3:45 AM",C79="5:45 AM")),SUMPRODUCT(($AD$2:AD79="Y")*($E$2:E79="N")*($I$2:I79="Y")*(($C$2:C79="3:45 AM")+($C$2:C79="5:45 AM"))), "")</f>
        <v/>
      </c>
      <c r="AL79" s="119">
        <f>IF(AND(AD79="Y",C79="12:15 PM",E79="N",K79&lt;&gt;"Y"),COUNTIFS($AD$2:AD79,"Y",$C$2:C79,"12:15 PM",$E$2:E79,"N",$K$2:K79,"&lt;&gt;Y"),"")</f>
        <v/>
      </c>
      <c r="AM79" s="119">
        <f>IF(AND(AD79="Y",C79="2:00 PM",E79="N",K79&lt;&gt;"Y"),COUNTIFS($AD$2:AD79,"Y",$C$2:C79,"2:00 PM",$E$2:E79,"N",$K$2:K79,"&lt;&gt;Y"),"")</f>
        <v/>
      </c>
      <c r="AN79" s="119">
        <f>IF(AND(AD79="Y",E79="N",K79="Y",OR(C79="12:15 PM",C79="2:00 PM")),SUMPRODUCT(($AD$2:AD79="Y")*($E$2:E79="N")*($K$2:K79="Y")*(($C$2:C79="12:15 PM")+($C$2:C79="2:00 PM"))), "")</f>
        <v/>
      </c>
      <c r="AO79" s="119">
        <f>IF(AND(AD79="Y",C79="12:15 PM",E79="N",L79="Y"),COUNTIFS($AD$2:AD79,"Y",$C$2:C79,"12:15 PM",$E$2:E79,"N",$L$2:L79,"Y"),"")</f>
        <v/>
      </c>
      <c r="AP79" s="119">
        <f>IF(AND(AD79="Y",C79="2:00 PM",E79="N",L79="Y"),COUNTIFS($AD$2:AD79,"Y",$C$2:C79,"2:00 PM",$E$2:E79,"N",$L$2:L79,"Y"),"")</f>
        <v/>
      </c>
    </row>
    <row r="80" ht="14.25" customHeight="1" s="120">
      <c r="A80" s="231" t="inlineStr">
        <is>
          <t>EMP-0083</t>
        </is>
      </c>
      <c r="B80" s="232" t="inlineStr">
        <is>
          <t>Khadijah Van Holten</t>
        </is>
      </c>
      <c r="C80" s="232" t="inlineStr">
        <is>
          <t>3:45 AM</t>
        </is>
      </c>
      <c r="D80" s="232" t="inlineStr">
        <is>
          <t>Tue, Wed</t>
        </is>
      </c>
      <c r="E80" s="232" t="inlineStr">
        <is>
          <t>N</t>
        </is>
      </c>
      <c r="F80" s="232" t="inlineStr">
        <is>
          <t>N</t>
        </is>
      </c>
      <c r="G80" s="232" t="inlineStr">
        <is>
          <t>Y</t>
        </is>
      </c>
      <c r="H80" s="232" t="inlineStr">
        <is>
          <t>None</t>
        </is>
      </c>
      <c r="I80" s="232" t="inlineStr">
        <is>
          <t>N</t>
        </is>
      </c>
      <c r="J80" s="232" t="inlineStr">
        <is>
          <t>Y</t>
        </is>
      </c>
      <c r="K80" s="232" t="inlineStr">
        <is>
          <t>N</t>
        </is>
      </c>
      <c r="L80" s="232" t="inlineStr">
        <is>
          <t>Y</t>
        </is>
      </c>
      <c r="M80" s="232" t="inlineStr">
        <is>
          <t>Standard</t>
        </is>
      </c>
      <c r="N80" s="232" t="n"/>
      <c r="O80" s="232" t="n"/>
      <c r="P80" s="232" t="inlineStr">
        <is>
          <t>N</t>
        </is>
      </c>
      <c r="Q80" s="232" t="n"/>
      <c r="R80" s="232" t="n"/>
      <c r="S80" s="232" t="n"/>
      <c r="T80" s="233" t="inlineStr">
        <is>
          <t>N</t>
        </is>
      </c>
      <c r="U80" s="227">
        <f>IF($B80="","",IF(AND($G80="Y",ISERROR(SEARCH(TEXT('Control Center'!$B$3,"ddd"),TRIM($D80)))),"Y","N"))</f>
        <v/>
      </c>
      <c r="V80" s="227">
        <f>IF($B80="","",IF(AND($U80="Y",OR($C80="3:45 AM",$C80="5:45 AM"),OR('Control Center'!$B$4="N",$K80&lt;&gt;"Y")),"Y","N"))</f>
        <v/>
      </c>
      <c r="W80" s="227">
        <f>IF($B80="","",IF(AND($U80="Y",OR($C80="12:15 PM",$C80="2:00 PM"),OR('Control Center'!$B$5="N",$K80&lt;&gt;"Y")),"Y","N"))</f>
        <v/>
      </c>
      <c r="X80" s="228" t="n"/>
      <c r="Y80" s="229" t="n"/>
      <c r="Z80" s="228" t="n"/>
      <c r="AA80" s="229" t="n"/>
      <c r="AB80" s="230">
        <f>IF($B80="","",IF($P80="Y",IF($Y80="Y","Completed","In Progress"),""))</f>
        <v/>
      </c>
      <c r="AC80" s="119">
        <f>IF($B80="","",IF(COUNTIFS('Approved Absences'!$A$2:$A$200,$B80,'Approved Absences'!$B$2:$B$200,"&lt;="&amp;INT('Control Center'!$B$3),'Approved Absences'!$C$2:$C$200,"&gt;="&amp;INT('Control Center'!$B$3))&gt;0,"Y","N"))</f>
        <v/>
      </c>
      <c r="AD80" s="119">
        <f>IF($B80="","",IF(AND($G80="Y",$AC80&lt;&gt;"Y",ISERROR(SEARCH(TEXT('Control Center'!$B$3,"ddd"),TRIM($D80)))),"Y","N"))</f>
        <v/>
      </c>
      <c r="AE80" s="119">
        <f>IF(AND(AD80="Y",C80="3:45 AM",E80="N",K80&lt;&gt;"Y"),COUNTIFS($AD$2:AD80,"Y",$C$2:C80,"3:45 AM",$E$2:E80,"N",$K$2:K80,"&lt;&gt;Y"),"")</f>
        <v/>
      </c>
      <c r="AF80" s="119">
        <f>IF(AND(AD80="Y",C80="5:45 AM",E80="N",K80&lt;&gt;"Y"),COUNTIFS($AD$2:AD80,"Y",$C$2:C80,"5:45 AM",$E$2:E80,"N",$K$2:K80,"&lt;&gt;Y"),"")</f>
        <v/>
      </c>
      <c r="AG80" s="119">
        <f>IF(AND(AD80="Y",C80="3:45 AM",E80="N",L80="Y",K80&lt;&gt;"Y"),COUNTIFS($AD$2:AD80,"Y",$C$2:C80,"3:45 AM",$E$2:E80,"N",$L$2:L80,"Y",$K$2:K80,"&lt;&gt;Y"),"")</f>
        <v/>
      </c>
      <c r="AH80" s="119">
        <f>IF(AND(AD80="Y",C80="5:45 AM",E80="N",L80="Y",K80&lt;&gt;"Y"),COUNTIFS($AD$2:AD80,"Y",$C$2:C80,"5:45 AM",$E$2:E80,"N",$L$2:L80,"Y",$K$2:K80,"&lt;&gt;Y"),"")</f>
        <v/>
      </c>
      <c r="AI80" s="119">
        <f>IF(AND(AD80="Y",E80="N",K80="Y",OR(C80="3:45 AM",C80="5:45 AM")),SUMPRODUCT(($AD$2:AD80="Y")*($E$2:E80="N")*($K$2:K80="Y")*(($C$2:C80="3:45 AM")+($C$2:C80="5:45 AM"))), "")</f>
        <v/>
      </c>
      <c r="AJ80" s="119">
        <f>IF(AND(AD80="Y",C80="3:45 AM",E80="N",J80="Y"),COUNTIFS($AD$2:AD80,"Y",$C$2:C80,"3:45 AM",$E$2:E80,"N",$J$2:J80,"Y"),"")</f>
        <v/>
      </c>
      <c r="AK80" s="119">
        <f>IF(AND(AD80="Y",E80="N",I80="Y",OR(C80="3:45 AM",C80="5:45 AM")),SUMPRODUCT(($AD$2:AD80="Y")*($E$2:E80="N")*($I$2:I80="Y")*(($C$2:C80="3:45 AM")+($C$2:C80="5:45 AM"))), "")</f>
        <v/>
      </c>
      <c r="AL80" s="119">
        <f>IF(AND(AD80="Y",C80="12:15 PM",E80="N",K80&lt;&gt;"Y"),COUNTIFS($AD$2:AD80,"Y",$C$2:C80,"12:15 PM",$E$2:E80,"N",$K$2:K80,"&lt;&gt;Y"),"")</f>
        <v/>
      </c>
      <c r="AM80" s="119">
        <f>IF(AND(AD80="Y",C80="2:00 PM",E80="N",K80&lt;&gt;"Y"),COUNTIFS($AD$2:AD80,"Y",$C$2:C80,"2:00 PM",$E$2:E80,"N",$K$2:K80,"&lt;&gt;Y"),"")</f>
        <v/>
      </c>
      <c r="AN80" s="119">
        <f>IF(AND(AD80="Y",E80="N",K80="Y",OR(C80="12:15 PM",C80="2:00 PM")),SUMPRODUCT(($AD$2:AD80="Y")*($E$2:E80="N")*($K$2:K80="Y")*(($C$2:C80="12:15 PM")+($C$2:C80="2:00 PM"))), "")</f>
        <v/>
      </c>
      <c r="AO80" s="119">
        <f>IF(AND(AD80="Y",C80="12:15 PM",E80="N",L80="Y"),COUNTIFS($AD$2:AD80,"Y",$C$2:C80,"12:15 PM",$E$2:E80,"N",$L$2:L80,"Y"),"")</f>
        <v/>
      </c>
      <c r="AP80" s="119">
        <f>IF(AND(AD80="Y",C80="2:00 PM",E80="N",L80="Y"),COUNTIFS($AD$2:AD80,"Y",$C$2:C80,"2:00 PM",$E$2:E80,"N",$L$2:L80,"Y"),"")</f>
        <v/>
      </c>
    </row>
    <row r="81" ht="14.25" customHeight="1" s="120">
      <c r="A81" s="231" t="inlineStr">
        <is>
          <t>EMP-0084</t>
        </is>
      </c>
      <c r="B81" s="232" t="inlineStr">
        <is>
          <t>Khalia Mitchell</t>
        </is>
      </c>
      <c r="C81" s="232" t="inlineStr">
        <is>
          <t>2:00 PM</t>
        </is>
      </c>
      <c r="D81" s="232" t="inlineStr">
        <is>
          <t>Sat, Sun</t>
        </is>
      </c>
      <c r="E81" s="232" t="inlineStr">
        <is>
          <t>N</t>
        </is>
      </c>
      <c r="F81" s="232" t="inlineStr">
        <is>
          <t>Y</t>
        </is>
      </c>
      <c r="G81" s="232" t="inlineStr">
        <is>
          <t>Y</t>
        </is>
      </c>
      <c r="H81" s="232" t="inlineStr">
        <is>
          <t>None</t>
        </is>
      </c>
      <c r="I81" s="232" t="inlineStr">
        <is>
          <t>Y</t>
        </is>
      </c>
      <c r="J81" s="232" t="inlineStr">
        <is>
          <t>Y</t>
        </is>
      </c>
      <c r="K81" s="232" t="inlineStr">
        <is>
          <t>N</t>
        </is>
      </c>
      <c r="L81" s="232" t="inlineStr">
        <is>
          <t>Y</t>
        </is>
      </c>
      <c r="M81" s="232" t="inlineStr">
        <is>
          <t>Standard</t>
        </is>
      </c>
      <c r="N81" s="232" t="n"/>
      <c r="O81" s="232" t="n"/>
      <c r="P81" s="232" t="inlineStr">
        <is>
          <t>N</t>
        </is>
      </c>
      <c r="Q81" s="232" t="n"/>
      <c r="R81" s="232" t="n"/>
      <c r="S81" s="232" t="n"/>
      <c r="T81" s="233" t="inlineStr">
        <is>
          <t>N</t>
        </is>
      </c>
      <c r="U81" s="227">
        <f>IF($B81="","",IF(AND($G81="Y",ISERROR(SEARCH(TEXT('Control Center'!$B$3,"ddd"),TRIM($D81)))),"Y","N"))</f>
        <v/>
      </c>
      <c r="V81" s="227">
        <f>IF($B81="","",IF(AND($U81="Y",OR($C81="3:45 AM",$C81="5:45 AM"),OR('Control Center'!$B$4="N",$K81&lt;&gt;"Y")),"Y","N"))</f>
        <v/>
      </c>
      <c r="W81" s="227">
        <f>IF($B81="","",IF(AND($U81="Y",OR($C81="12:15 PM",$C81="2:00 PM"),OR('Control Center'!$B$5="N",$K81&lt;&gt;"Y")),"Y","N"))</f>
        <v/>
      </c>
      <c r="X81" s="228" t="n"/>
      <c r="Y81" s="229" t="n"/>
      <c r="Z81" s="228" t="n"/>
      <c r="AA81" s="229" t="n"/>
      <c r="AB81" s="230">
        <f>IF($B81="","",IF($P81="Y",IF($Y81="Y","Completed","In Progress"),""))</f>
        <v/>
      </c>
      <c r="AC81" s="119">
        <f>IF($B81="","",IF(COUNTIFS('Approved Absences'!$A$2:$A$200,$B81,'Approved Absences'!$B$2:$B$200,"&lt;="&amp;INT('Control Center'!$B$3),'Approved Absences'!$C$2:$C$200,"&gt;="&amp;INT('Control Center'!$B$3))&gt;0,"Y","N"))</f>
        <v/>
      </c>
      <c r="AD81" s="119">
        <f>IF($B81="","",IF(AND($G81="Y",$AC81&lt;&gt;"Y",ISERROR(SEARCH(TEXT('Control Center'!$B$3,"ddd"),TRIM($D81)))),"Y","N"))</f>
        <v/>
      </c>
      <c r="AE81" s="119">
        <f>IF(AND(AD81="Y",C81="3:45 AM",E81="N",K81&lt;&gt;"Y"),COUNTIFS($AD$2:AD81,"Y",$C$2:C81,"3:45 AM",$E$2:E81,"N",$K$2:K81,"&lt;&gt;Y"),"")</f>
        <v/>
      </c>
      <c r="AF81" s="119">
        <f>IF(AND(AD81="Y",C81="5:45 AM",E81="N",K81&lt;&gt;"Y"),COUNTIFS($AD$2:AD81,"Y",$C$2:C81,"5:45 AM",$E$2:E81,"N",$K$2:K81,"&lt;&gt;Y"),"")</f>
        <v/>
      </c>
      <c r="AG81" s="119">
        <f>IF(AND(AD81="Y",C81="3:45 AM",E81="N",L81="Y",K81&lt;&gt;"Y"),COUNTIFS($AD$2:AD81,"Y",$C$2:C81,"3:45 AM",$E$2:E81,"N",$L$2:L81,"Y",$K$2:K81,"&lt;&gt;Y"),"")</f>
        <v/>
      </c>
      <c r="AH81" s="119">
        <f>IF(AND(AD81="Y",C81="5:45 AM",E81="N",L81="Y",K81&lt;&gt;"Y"),COUNTIFS($AD$2:AD81,"Y",$C$2:C81,"5:45 AM",$E$2:E81,"N",$L$2:L81,"Y",$K$2:K81,"&lt;&gt;Y"),"")</f>
        <v/>
      </c>
      <c r="AI81" s="119">
        <f>IF(AND(AD81="Y",E81="N",K81="Y",OR(C81="3:45 AM",C81="5:45 AM")),SUMPRODUCT(($AD$2:AD81="Y")*($E$2:E81="N")*($K$2:K81="Y")*(($C$2:C81="3:45 AM")+($C$2:C81="5:45 AM"))), "")</f>
        <v/>
      </c>
      <c r="AJ81" s="119">
        <f>IF(AND(AD81="Y",C81="3:45 AM",E81="N",J81="Y"),COUNTIFS($AD$2:AD81,"Y",$C$2:C81,"3:45 AM",$E$2:E81,"N",$J$2:J81,"Y"),"")</f>
        <v/>
      </c>
      <c r="AK81" s="119">
        <f>IF(AND(AD81="Y",E81="N",I81="Y",OR(C81="3:45 AM",C81="5:45 AM")),SUMPRODUCT(($AD$2:AD81="Y")*($E$2:E81="N")*($I$2:I81="Y")*(($C$2:C81="3:45 AM")+($C$2:C81="5:45 AM"))), "")</f>
        <v/>
      </c>
      <c r="AL81" s="119">
        <f>IF(AND(AD81="Y",C81="12:15 PM",E81="N",K81&lt;&gt;"Y"),COUNTIFS($AD$2:AD81,"Y",$C$2:C81,"12:15 PM",$E$2:E81,"N",$K$2:K81,"&lt;&gt;Y"),"")</f>
        <v/>
      </c>
      <c r="AM81" s="119">
        <f>IF(AND(AD81="Y",C81="2:00 PM",E81="N",K81&lt;&gt;"Y"),COUNTIFS($AD$2:AD81,"Y",$C$2:C81,"2:00 PM",$E$2:E81,"N",$K$2:K81,"&lt;&gt;Y"),"")</f>
        <v/>
      </c>
      <c r="AN81" s="119">
        <f>IF(AND(AD81="Y",E81="N",K81="Y",OR(C81="12:15 PM",C81="2:00 PM")),SUMPRODUCT(($AD$2:AD81="Y")*($E$2:E81="N")*($K$2:K81="Y")*(($C$2:C81="12:15 PM")+($C$2:C81="2:00 PM"))), "")</f>
        <v/>
      </c>
      <c r="AO81" s="119">
        <f>IF(AND(AD81="Y",C81="12:15 PM",E81="N",L81="Y"),COUNTIFS($AD$2:AD81,"Y",$C$2:C81,"12:15 PM",$E$2:E81,"N",$L$2:L81,"Y"),"")</f>
        <v/>
      </c>
      <c r="AP81" s="119">
        <f>IF(AND(AD81="Y",C81="2:00 PM",E81="N",L81="Y"),COUNTIFS($AD$2:AD81,"Y",$C$2:C81,"2:00 PM",$E$2:E81,"N",$L$2:L81,"Y"),"")</f>
        <v/>
      </c>
    </row>
    <row r="82" ht="14.25" customHeight="1" s="120">
      <c r="A82" s="231" t="inlineStr">
        <is>
          <t>EMP-0085</t>
        </is>
      </c>
      <c r="B82" s="232" t="inlineStr">
        <is>
          <t>Khursheeda Nasreen</t>
        </is>
      </c>
      <c r="C82" s="232" t="inlineStr">
        <is>
          <t>2:00 PM</t>
        </is>
      </c>
      <c r="D82" s="232" t="inlineStr">
        <is>
          <t>Fri, Sat</t>
        </is>
      </c>
      <c r="E82" s="232" t="inlineStr">
        <is>
          <t>N</t>
        </is>
      </c>
      <c r="F82" s="232" t="inlineStr">
        <is>
          <t>N</t>
        </is>
      </c>
      <c r="G82" s="232" t="inlineStr">
        <is>
          <t>Y</t>
        </is>
      </c>
      <c r="H82" s="232" t="inlineStr">
        <is>
          <t>None</t>
        </is>
      </c>
      <c r="I82" s="232" t="inlineStr">
        <is>
          <t>N</t>
        </is>
      </c>
      <c r="J82" s="232" t="inlineStr">
        <is>
          <t>N</t>
        </is>
      </c>
      <c r="K82" s="232" t="inlineStr">
        <is>
          <t>N</t>
        </is>
      </c>
      <c r="L82" s="232" t="inlineStr">
        <is>
          <t>Y</t>
        </is>
      </c>
      <c r="M82" s="232" t="inlineStr">
        <is>
          <t>Standard</t>
        </is>
      </c>
      <c r="N82" s="232" t="n"/>
      <c r="O82" s="232" t="n"/>
      <c r="P82" s="232" t="inlineStr">
        <is>
          <t>N</t>
        </is>
      </c>
      <c r="Q82" s="232" t="n"/>
      <c r="R82" s="232" t="n"/>
      <c r="S82" s="232" t="n"/>
      <c r="T82" s="233" t="inlineStr">
        <is>
          <t>N</t>
        </is>
      </c>
      <c r="U82" s="227">
        <f>IF($B82="","",IF(AND($G82="Y",ISERROR(SEARCH(TEXT('Control Center'!$B$3,"ddd"),TRIM($D82)))),"Y","N"))</f>
        <v/>
      </c>
      <c r="V82" s="227">
        <f>IF($B82="","",IF(AND($U82="Y",OR($C82="3:45 AM",$C82="5:45 AM"),OR('Control Center'!$B$4="N",$K82&lt;&gt;"Y")),"Y","N"))</f>
        <v/>
      </c>
      <c r="W82" s="227">
        <f>IF($B82="","",IF(AND($U82="Y",OR($C82="12:15 PM",$C82="2:00 PM"),OR('Control Center'!$B$5="N",$K82&lt;&gt;"Y")),"Y","N"))</f>
        <v/>
      </c>
      <c r="X82" s="228" t="n"/>
      <c r="Y82" s="229" t="n"/>
      <c r="Z82" s="228" t="n"/>
      <c r="AA82" s="229" t="n"/>
      <c r="AB82" s="230">
        <f>IF($B82="","",IF($P82="Y",IF($Y82="Y","Completed","In Progress"),""))</f>
        <v/>
      </c>
      <c r="AC82" s="119">
        <f>IF($B82="","",IF(COUNTIFS('Approved Absences'!$A$2:$A$200,$B82,'Approved Absences'!$B$2:$B$200,"&lt;="&amp;INT('Control Center'!$B$3),'Approved Absences'!$C$2:$C$200,"&gt;="&amp;INT('Control Center'!$B$3))&gt;0,"Y","N"))</f>
        <v/>
      </c>
      <c r="AD82" s="119">
        <f>IF($B82="","",IF(AND($G82="Y",$AC82&lt;&gt;"Y",ISERROR(SEARCH(TEXT('Control Center'!$B$3,"ddd"),TRIM($D82)))),"Y","N"))</f>
        <v/>
      </c>
      <c r="AE82" s="119">
        <f>IF(AND(AD82="Y",C82="3:45 AM",E82="N",K82&lt;&gt;"Y"),COUNTIFS($AD$2:AD82,"Y",$C$2:C82,"3:45 AM",$E$2:E82,"N",$K$2:K82,"&lt;&gt;Y"),"")</f>
        <v/>
      </c>
      <c r="AF82" s="119">
        <f>IF(AND(AD82="Y",C82="5:45 AM",E82="N",K82&lt;&gt;"Y"),COUNTIFS($AD$2:AD82,"Y",$C$2:C82,"5:45 AM",$E$2:E82,"N",$K$2:K82,"&lt;&gt;Y"),"")</f>
        <v/>
      </c>
      <c r="AG82" s="119">
        <f>IF(AND(AD82="Y",C82="3:45 AM",E82="N",L82="Y",K82&lt;&gt;"Y"),COUNTIFS($AD$2:AD82,"Y",$C$2:C82,"3:45 AM",$E$2:E82,"N",$L$2:L82,"Y",$K$2:K82,"&lt;&gt;Y"),"")</f>
        <v/>
      </c>
      <c r="AH82" s="119">
        <f>IF(AND(AD82="Y",C82="5:45 AM",E82="N",L82="Y",K82&lt;&gt;"Y"),COUNTIFS($AD$2:AD82,"Y",$C$2:C82,"5:45 AM",$E$2:E82,"N",$L$2:L82,"Y",$K$2:K82,"&lt;&gt;Y"),"")</f>
        <v/>
      </c>
      <c r="AI82" s="119">
        <f>IF(AND(AD82="Y",E82="N",K82="Y",OR(C82="3:45 AM",C82="5:45 AM")),SUMPRODUCT(($AD$2:AD82="Y")*($E$2:E82="N")*($K$2:K82="Y")*(($C$2:C82="3:45 AM")+($C$2:C82="5:45 AM"))), "")</f>
        <v/>
      </c>
      <c r="AJ82" s="119">
        <f>IF(AND(AD82="Y",C82="3:45 AM",E82="N",J82="Y"),COUNTIFS($AD$2:AD82,"Y",$C$2:C82,"3:45 AM",$E$2:E82,"N",$J$2:J82,"Y"),"")</f>
        <v/>
      </c>
      <c r="AK82" s="119">
        <f>IF(AND(AD82="Y",E82="N",I82="Y",OR(C82="3:45 AM",C82="5:45 AM")),SUMPRODUCT(($AD$2:AD82="Y")*($E$2:E82="N")*($I$2:I82="Y")*(($C$2:C82="3:45 AM")+($C$2:C82="5:45 AM"))), "")</f>
        <v/>
      </c>
      <c r="AL82" s="119">
        <f>IF(AND(AD82="Y",C82="12:15 PM",E82="N",K82&lt;&gt;"Y"),COUNTIFS($AD$2:AD82,"Y",$C$2:C82,"12:15 PM",$E$2:E82,"N",$K$2:K82,"&lt;&gt;Y"),"")</f>
        <v/>
      </c>
      <c r="AM82" s="119">
        <f>IF(AND(AD82="Y",C82="2:00 PM",E82="N",K82&lt;&gt;"Y"),COUNTIFS($AD$2:AD82,"Y",$C$2:C82,"2:00 PM",$E$2:E82,"N",$K$2:K82,"&lt;&gt;Y"),"")</f>
        <v/>
      </c>
      <c r="AN82" s="119">
        <f>IF(AND(AD82="Y",E82="N",K82="Y",OR(C82="12:15 PM",C82="2:00 PM")),SUMPRODUCT(($AD$2:AD82="Y")*($E$2:E82="N")*($K$2:K82="Y")*(($C$2:C82="12:15 PM")+($C$2:C82="2:00 PM"))), "")</f>
        <v/>
      </c>
      <c r="AO82" s="119">
        <f>IF(AND(AD82="Y",C82="12:15 PM",E82="N",L82="Y"),COUNTIFS($AD$2:AD82,"Y",$C$2:C82,"12:15 PM",$E$2:E82,"N",$L$2:L82,"Y"),"")</f>
        <v/>
      </c>
      <c r="AP82" s="119">
        <f>IF(AND(AD82="Y",C82="2:00 PM",E82="N",L82="Y"),COUNTIFS($AD$2:AD82,"Y",$C$2:C82,"2:00 PM",$E$2:E82,"N",$L$2:L82,"Y"),"")</f>
        <v/>
      </c>
    </row>
    <row r="83" ht="14.25" customHeight="1" s="120">
      <c r="A83" s="231" t="inlineStr">
        <is>
          <t>EMP-0086</t>
        </is>
      </c>
      <c r="B83" s="232" t="inlineStr">
        <is>
          <t>Kidest Solomon</t>
        </is>
      </c>
      <c r="C83" s="232" t="inlineStr">
        <is>
          <t>5:45 AM</t>
        </is>
      </c>
      <c r="D83" s="232" t="inlineStr">
        <is>
          <t>Thu, Fri</t>
        </is>
      </c>
      <c r="E83" s="232" t="inlineStr">
        <is>
          <t>N</t>
        </is>
      </c>
      <c r="F83" s="232" t="inlineStr">
        <is>
          <t>N</t>
        </is>
      </c>
      <c r="G83" s="232" t="inlineStr">
        <is>
          <t>Y</t>
        </is>
      </c>
      <c r="H83" s="232" t="inlineStr">
        <is>
          <t>None</t>
        </is>
      </c>
      <c r="I83" s="232" t="inlineStr">
        <is>
          <t>N</t>
        </is>
      </c>
      <c r="J83" s="232" t="inlineStr">
        <is>
          <t>N</t>
        </is>
      </c>
      <c r="K83" s="232" t="inlineStr">
        <is>
          <t>N</t>
        </is>
      </c>
      <c r="L83" s="232" t="inlineStr">
        <is>
          <t>Y</t>
        </is>
      </c>
      <c r="M83" s="232" t="inlineStr">
        <is>
          <t>Standard</t>
        </is>
      </c>
      <c r="N83" s="232" t="n"/>
      <c r="O83" s="232" t="n"/>
      <c r="P83" s="232" t="inlineStr">
        <is>
          <t>N</t>
        </is>
      </c>
      <c r="Q83" s="232" t="n"/>
      <c r="R83" s="232" t="n"/>
      <c r="S83" s="232" t="n"/>
      <c r="T83" s="233" t="inlineStr">
        <is>
          <t>N</t>
        </is>
      </c>
      <c r="U83" s="227">
        <f>IF($B83="","",IF(AND($G83="Y",ISERROR(SEARCH(TEXT('Control Center'!$B$3,"ddd"),TRIM($D83)))),"Y","N"))</f>
        <v/>
      </c>
      <c r="V83" s="227">
        <f>IF($B83="","",IF(AND($U83="Y",OR($C83="3:45 AM",$C83="5:45 AM"),OR('Control Center'!$B$4="N",$K83&lt;&gt;"Y")),"Y","N"))</f>
        <v/>
      </c>
      <c r="W83" s="227">
        <f>IF($B83="","",IF(AND($U83="Y",OR($C83="12:15 PM",$C83="2:00 PM"),OR('Control Center'!$B$5="N",$K83&lt;&gt;"Y")),"Y","N"))</f>
        <v/>
      </c>
      <c r="X83" s="228" t="n"/>
      <c r="Y83" s="229" t="n"/>
      <c r="Z83" s="228" t="n"/>
      <c r="AA83" s="229" t="n"/>
      <c r="AB83" s="230">
        <f>IF($B83="","",IF($P83="Y",IF($Y83="Y","Completed","In Progress"),""))</f>
        <v/>
      </c>
      <c r="AC83" s="119">
        <f>IF($B83="","",IF(COUNTIFS('Approved Absences'!$A$2:$A$200,$B83,'Approved Absences'!$B$2:$B$200,"&lt;="&amp;INT('Control Center'!$B$3),'Approved Absences'!$C$2:$C$200,"&gt;="&amp;INT('Control Center'!$B$3))&gt;0,"Y","N"))</f>
        <v/>
      </c>
      <c r="AD83" s="119">
        <f>IF($B83="","",IF(AND($G83="Y",$AC83&lt;&gt;"Y",ISERROR(SEARCH(TEXT('Control Center'!$B$3,"ddd"),TRIM($D83)))),"Y","N"))</f>
        <v/>
      </c>
      <c r="AE83" s="119">
        <f>IF(AND(AD83="Y",C83="3:45 AM",E83="N",K83&lt;&gt;"Y"),COUNTIFS($AD$2:AD83,"Y",$C$2:C83,"3:45 AM",$E$2:E83,"N",$K$2:K83,"&lt;&gt;Y"),"")</f>
        <v/>
      </c>
      <c r="AF83" s="119">
        <f>IF(AND(AD83="Y",C83="5:45 AM",E83="N",K83&lt;&gt;"Y"),COUNTIFS($AD$2:AD83,"Y",$C$2:C83,"5:45 AM",$E$2:E83,"N",$K$2:K83,"&lt;&gt;Y"),"")</f>
        <v/>
      </c>
      <c r="AG83" s="119">
        <f>IF(AND(AD83="Y",C83="3:45 AM",E83="N",L83="Y",K83&lt;&gt;"Y"),COUNTIFS($AD$2:AD83,"Y",$C$2:C83,"3:45 AM",$E$2:E83,"N",$L$2:L83,"Y",$K$2:K83,"&lt;&gt;Y"),"")</f>
        <v/>
      </c>
      <c r="AH83" s="119">
        <f>IF(AND(AD83="Y",C83="5:45 AM",E83="N",L83="Y",K83&lt;&gt;"Y"),COUNTIFS($AD$2:AD83,"Y",$C$2:C83,"5:45 AM",$E$2:E83,"N",$L$2:L83,"Y",$K$2:K83,"&lt;&gt;Y"),"")</f>
        <v/>
      </c>
      <c r="AI83" s="119">
        <f>IF(AND(AD83="Y",E83="N",K83="Y",OR(C83="3:45 AM",C83="5:45 AM")),SUMPRODUCT(($AD$2:AD83="Y")*($E$2:E83="N")*($K$2:K83="Y")*(($C$2:C83="3:45 AM")+($C$2:C83="5:45 AM"))), "")</f>
        <v/>
      </c>
      <c r="AJ83" s="119">
        <f>IF(AND(AD83="Y",C83="3:45 AM",E83="N",J83="Y"),COUNTIFS($AD$2:AD83,"Y",$C$2:C83,"3:45 AM",$E$2:E83,"N",$J$2:J83,"Y"),"")</f>
        <v/>
      </c>
      <c r="AK83" s="119">
        <f>IF(AND(AD83="Y",E83="N",I83="Y",OR(C83="3:45 AM",C83="5:45 AM")),SUMPRODUCT(($AD$2:AD83="Y")*($E$2:E83="N")*($I$2:I83="Y")*(($C$2:C83="3:45 AM")+($C$2:C83="5:45 AM"))), "")</f>
        <v/>
      </c>
      <c r="AL83" s="119">
        <f>IF(AND(AD83="Y",C83="12:15 PM",E83="N",K83&lt;&gt;"Y"),COUNTIFS($AD$2:AD83,"Y",$C$2:C83,"12:15 PM",$E$2:E83,"N",$K$2:K83,"&lt;&gt;Y"),"")</f>
        <v/>
      </c>
      <c r="AM83" s="119">
        <f>IF(AND(AD83="Y",C83="2:00 PM",E83="N",K83&lt;&gt;"Y"),COUNTIFS($AD$2:AD83,"Y",$C$2:C83,"2:00 PM",$E$2:E83,"N",$K$2:K83,"&lt;&gt;Y"),"")</f>
        <v/>
      </c>
      <c r="AN83" s="119">
        <f>IF(AND(AD83="Y",E83="N",K83="Y",OR(C83="12:15 PM",C83="2:00 PM")),SUMPRODUCT(($AD$2:AD83="Y")*($E$2:E83="N")*($K$2:K83="Y")*(($C$2:C83="12:15 PM")+($C$2:C83="2:00 PM"))), "")</f>
        <v/>
      </c>
      <c r="AO83" s="119">
        <f>IF(AND(AD83="Y",C83="12:15 PM",E83="N",L83="Y"),COUNTIFS($AD$2:AD83,"Y",$C$2:C83,"12:15 PM",$E$2:E83,"N",$L$2:L83,"Y"),"")</f>
        <v/>
      </c>
      <c r="AP83" s="119">
        <f>IF(AND(AD83="Y",C83="2:00 PM",E83="N",L83="Y"),COUNTIFS($AD$2:AD83,"Y",$C$2:C83,"2:00 PM",$E$2:E83,"N",$L$2:L83,"Y"),"")</f>
        <v/>
      </c>
    </row>
    <row r="84" ht="14.25" customHeight="1" s="120">
      <c r="A84" s="231" t="inlineStr">
        <is>
          <t>EMP-0087</t>
        </is>
      </c>
      <c r="B84" s="232" t="inlineStr">
        <is>
          <t>Kimberly Morrison</t>
        </is>
      </c>
      <c r="C84" s="232" t="inlineStr">
        <is>
          <t>3:45 AM</t>
        </is>
      </c>
      <c r="D84" s="232" t="inlineStr">
        <is>
          <t>Thu, Fri</t>
        </is>
      </c>
      <c r="E84" s="232" t="inlineStr">
        <is>
          <t>N</t>
        </is>
      </c>
      <c r="F84" s="232" t="inlineStr">
        <is>
          <t>N</t>
        </is>
      </c>
      <c r="G84" s="232" t="inlineStr">
        <is>
          <t>Y</t>
        </is>
      </c>
      <c r="H84" s="232" t="inlineStr">
        <is>
          <t>None</t>
        </is>
      </c>
      <c r="I84" s="232" t="inlineStr">
        <is>
          <t>N</t>
        </is>
      </c>
      <c r="J84" s="232" t="inlineStr">
        <is>
          <t>N</t>
        </is>
      </c>
      <c r="K84" s="232" t="inlineStr">
        <is>
          <t>N</t>
        </is>
      </c>
      <c r="L84" s="232" t="inlineStr">
        <is>
          <t>Y</t>
        </is>
      </c>
      <c r="M84" s="232" t="inlineStr">
        <is>
          <t>Standard</t>
        </is>
      </c>
      <c r="N84" s="232" t="n"/>
      <c r="O84" s="232" t="n"/>
      <c r="P84" s="232" t="inlineStr">
        <is>
          <t>N</t>
        </is>
      </c>
      <c r="Q84" s="232" t="n"/>
      <c r="R84" s="232" t="n"/>
      <c r="S84" s="232" t="n"/>
      <c r="T84" s="233" t="inlineStr">
        <is>
          <t>N</t>
        </is>
      </c>
      <c r="U84" s="227">
        <f>IF($B84="","",IF(AND($G84="Y",ISERROR(SEARCH(TEXT('Control Center'!$B$3,"ddd"),TRIM($D84)))),"Y","N"))</f>
        <v/>
      </c>
      <c r="V84" s="227">
        <f>IF($B84="","",IF(AND($U84="Y",OR($C84="3:45 AM",$C84="5:45 AM"),OR('Control Center'!$B$4="N",$K84&lt;&gt;"Y")),"Y","N"))</f>
        <v/>
      </c>
      <c r="W84" s="227">
        <f>IF($B84="","",IF(AND($U84="Y",OR($C84="12:15 PM",$C84="2:00 PM"),OR('Control Center'!$B$5="N",$K84&lt;&gt;"Y")),"Y","N"))</f>
        <v/>
      </c>
      <c r="X84" s="228" t="n"/>
      <c r="Y84" s="229" t="n"/>
      <c r="Z84" s="228" t="n"/>
      <c r="AA84" s="229" t="n"/>
      <c r="AB84" s="230">
        <f>IF($B84="","",IF($P84="Y",IF($Y84="Y","Completed","In Progress"),""))</f>
        <v/>
      </c>
      <c r="AC84" s="119">
        <f>IF($B84="","",IF(COUNTIFS('Approved Absences'!$A$2:$A$200,$B84,'Approved Absences'!$B$2:$B$200,"&lt;="&amp;INT('Control Center'!$B$3),'Approved Absences'!$C$2:$C$200,"&gt;="&amp;INT('Control Center'!$B$3))&gt;0,"Y","N"))</f>
        <v/>
      </c>
      <c r="AD84" s="119">
        <f>IF($B84="","",IF(AND($G84="Y",$AC84&lt;&gt;"Y",ISERROR(SEARCH(TEXT('Control Center'!$B$3,"ddd"),TRIM($D84)))),"Y","N"))</f>
        <v/>
      </c>
      <c r="AE84" s="119">
        <f>IF(AND(AD84="Y",C84="3:45 AM",E84="N",K84&lt;&gt;"Y"),COUNTIFS($AD$2:AD84,"Y",$C$2:C84,"3:45 AM",$E$2:E84,"N",$K$2:K84,"&lt;&gt;Y"),"")</f>
        <v/>
      </c>
      <c r="AF84" s="119">
        <f>IF(AND(AD84="Y",C84="5:45 AM",E84="N",K84&lt;&gt;"Y"),COUNTIFS($AD$2:AD84,"Y",$C$2:C84,"5:45 AM",$E$2:E84,"N",$K$2:K84,"&lt;&gt;Y"),"")</f>
        <v/>
      </c>
      <c r="AG84" s="119">
        <f>IF(AND(AD84="Y",C84="3:45 AM",E84="N",L84="Y",K84&lt;&gt;"Y"),COUNTIFS($AD$2:AD84,"Y",$C$2:C84,"3:45 AM",$E$2:E84,"N",$L$2:L84,"Y",$K$2:K84,"&lt;&gt;Y"),"")</f>
        <v/>
      </c>
      <c r="AH84" s="119">
        <f>IF(AND(AD84="Y",C84="5:45 AM",E84="N",L84="Y",K84&lt;&gt;"Y"),COUNTIFS($AD$2:AD84,"Y",$C$2:C84,"5:45 AM",$E$2:E84,"N",$L$2:L84,"Y",$K$2:K84,"&lt;&gt;Y"),"")</f>
        <v/>
      </c>
      <c r="AI84" s="119">
        <f>IF(AND(AD84="Y",E84="N",K84="Y",OR(C84="3:45 AM",C84="5:45 AM")),SUMPRODUCT(($AD$2:AD84="Y")*($E$2:E84="N")*($K$2:K84="Y")*(($C$2:C84="3:45 AM")+($C$2:C84="5:45 AM"))), "")</f>
        <v/>
      </c>
      <c r="AJ84" s="119">
        <f>IF(AND(AD84="Y",C84="3:45 AM",E84="N",J84="Y"),COUNTIFS($AD$2:AD84,"Y",$C$2:C84,"3:45 AM",$E$2:E84,"N",$J$2:J84,"Y"),"")</f>
        <v/>
      </c>
      <c r="AK84" s="119">
        <f>IF(AND(AD84="Y",E84="N",I84="Y",OR(C84="3:45 AM",C84="5:45 AM")),SUMPRODUCT(($AD$2:AD84="Y")*($E$2:E84="N")*($I$2:I84="Y")*(($C$2:C84="3:45 AM")+($C$2:C84="5:45 AM"))), "")</f>
        <v/>
      </c>
      <c r="AL84" s="119">
        <f>IF(AND(AD84="Y",C84="12:15 PM",E84="N",K84&lt;&gt;"Y"),COUNTIFS($AD$2:AD84,"Y",$C$2:C84,"12:15 PM",$E$2:E84,"N",$K$2:K84,"&lt;&gt;Y"),"")</f>
        <v/>
      </c>
      <c r="AM84" s="119">
        <f>IF(AND(AD84="Y",C84="2:00 PM",E84="N",K84&lt;&gt;"Y"),COUNTIFS($AD$2:AD84,"Y",$C$2:C84,"2:00 PM",$E$2:E84,"N",$K$2:K84,"&lt;&gt;Y"),"")</f>
        <v/>
      </c>
      <c r="AN84" s="119">
        <f>IF(AND(AD84="Y",E84="N",K84="Y",OR(C84="12:15 PM",C84="2:00 PM")),SUMPRODUCT(($AD$2:AD84="Y")*($E$2:E84="N")*($K$2:K84="Y")*(($C$2:C84="12:15 PM")+($C$2:C84="2:00 PM"))), "")</f>
        <v/>
      </c>
      <c r="AO84" s="119">
        <f>IF(AND(AD84="Y",C84="12:15 PM",E84="N",L84="Y"),COUNTIFS($AD$2:AD84,"Y",$C$2:C84,"12:15 PM",$E$2:E84,"N",$L$2:L84,"Y"),"")</f>
        <v/>
      </c>
      <c r="AP84" s="119">
        <f>IF(AND(AD84="Y",C84="2:00 PM",E84="N",L84="Y"),COUNTIFS($AD$2:AD84,"Y",$C$2:C84,"2:00 PM",$E$2:E84,"N",$L$2:L84,"Y"),"")</f>
        <v/>
      </c>
    </row>
    <row r="85" ht="14.25" customHeight="1" s="120">
      <c r="A85" s="231" t="inlineStr">
        <is>
          <t>EMP-0088</t>
        </is>
      </c>
      <c r="B85" s="232" t="inlineStr">
        <is>
          <t>Kimberly Smoot</t>
        </is>
      </c>
      <c r="C85" s="232" t="inlineStr">
        <is>
          <t>9:15 PM</t>
        </is>
      </c>
      <c r="D85" s="232" t="inlineStr">
        <is>
          <t>Wed, Thu</t>
        </is>
      </c>
      <c r="E85" s="232" t="inlineStr">
        <is>
          <t>N</t>
        </is>
      </c>
      <c r="F85" s="232" t="inlineStr">
        <is>
          <t>N</t>
        </is>
      </c>
      <c r="G85" s="232" t="inlineStr">
        <is>
          <t>Y</t>
        </is>
      </c>
      <c r="H85" s="232" t="inlineStr">
        <is>
          <t>None</t>
        </is>
      </c>
      <c r="I85" s="232" t="inlineStr">
        <is>
          <t>Y</t>
        </is>
      </c>
      <c r="J85" s="232" t="inlineStr">
        <is>
          <t>N</t>
        </is>
      </c>
      <c r="K85" s="232" t="inlineStr">
        <is>
          <t>N</t>
        </is>
      </c>
      <c r="L85" s="232" t="inlineStr">
        <is>
          <t>Y</t>
        </is>
      </c>
      <c r="M85" s="232" t="inlineStr">
        <is>
          <t>Standard</t>
        </is>
      </c>
      <c r="N85" s="232" t="n"/>
      <c r="O85" s="232" t="n"/>
      <c r="P85" s="232" t="inlineStr">
        <is>
          <t>N</t>
        </is>
      </c>
      <c r="Q85" s="232" t="n"/>
      <c r="R85" s="232" t="n"/>
      <c r="S85" s="232" t="n"/>
      <c r="T85" s="233" t="inlineStr">
        <is>
          <t>N</t>
        </is>
      </c>
      <c r="U85" s="227">
        <f>IF($B85="","",IF(AND($G85="Y",ISERROR(SEARCH(TEXT('Control Center'!$B$3,"ddd"),TRIM($D85)))),"Y","N"))</f>
        <v/>
      </c>
      <c r="V85" s="227">
        <f>IF($B85="","",IF(AND($U85="Y",OR($C85="3:45 AM",$C85="5:45 AM"),OR('Control Center'!$B$4="N",$K85&lt;&gt;"Y")),"Y","N"))</f>
        <v/>
      </c>
      <c r="W85" s="227">
        <f>IF($B85="","",IF(AND($U85="Y",OR($C85="12:15 PM",$C85="2:00 PM"),OR('Control Center'!$B$5="N",$K85&lt;&gt;"Y")),"Y","N"))</f>
        <v/>
      </c>
      <c r="X85" s="228" t="n"/>
      <c r="Y85" s="229" t="n"/>
      <c r="Z85" s="228" t="n"/>
      <c r="AA85" s="229" t="n"/>
      <c r="AB85" s="230">
        <f>IF($B85="","",IF($P85="Y",IF($Y85="Y","Completed","In Progress"),""))</f>
        <v/>
      </c>
      <c r="AC85" s="119">
        <f>IF($B85="","",IF(COUNTIFS('Approved Absences'!$A$2:$A$200,$B85,'Approved Absences'!$B$2:$B$200,"&lt;="&amp;INT('Control Center'!$B$3),'Approved Absences'!$C$2:$C$200,"&gt;="&amp;INT('Control Center'!$B$3))&gt;0,"Y","N"))</f>
        <v/>
      </c>
      <c r="AD85" s="119">
        <f>IF($B85="","",IF(AND($G85="Y",$AC85&lt;&gt;"Y",ISERROR(SEARCH(TEXT('Control Center'!$B$3,"ddd"),TRIM($D85)))),"Y","N"))</f>
        <v/>
      </c>
      <c r="AE85" s="119">
        <f>IF(AND(AD85="Y",C85="3:45 AM",E85="N",K85&lt;&gt;"Y"),COUNTIFS($AD$2:AD85,"Y",$C$2:C85,"3:45 AM",$E$2:E85,"N",$K$2:K85,"&lt;&gt;Y"),"")</f>
        <v/>
      </c>
      <c r="AF85" s="119">
        <f>IF(AND(AD85="Y",C85="5:45 AM",E85="N",K85&lt;&gt;"Y"),COUNTIFS($AD$2:AD85,"Y",$C$2:C85,"5:45 AM",$E$2:E85,"N",$K$2:K85,"&lt;&gt;Y"),"")</f>
        <v/>
      </c>
      <c r="AG85" s="119">
        <f>IF(AND(AD85="Y",C85="3:45 AM",E85="N",L85="Y",K85&lt;&gt;"Y"),COUNTIFS($AD$2:AD85,"Y",$C$2:C85,"3:45 AM",$E$2:E85,"N",$L$2:L85,"Y",$K$2:K85,"&lt;&gt;Y"),"")</f>
        <v/>
      </c>
      <c r="AH85" s="119">
        <f>IF(AND(AD85="Y",C85="5:45 AM",E85="N",L85="Y",K85&lt;&gt;"Y"),COUNTIFS($AD$2:AD85,"Y",$C$2:C85,"5:45 AM",$E$2:E85,"N",$L$2:L85,"Y",$K$2:K85,"&lt;&gt;Y"),"")</f>
        <v/>
      </c>
      <c r="AI85" s="119">
        <f>IF(AND(AD85="Y",E85="N",K85="Y",OR(C85="3:45 AM",C85="5:45 AM")),SUMPRODUCT(($AD$2:AD85="Y")*($E$2:E85="N")*($K$2:K85="Y")*(($C$2:C85="3:45 AM")+($C$2:C85="5:45 AM"))), "")</f>
        <v/>
      </c>
      <c r="AJ85" s="119">
        <f>IF(AND(AD85="Y",C85="3:45 AM",E85="N",J85="Y"),COUNTIFS($AD$2:AD85,"Y",$C$2:C85,"3:45 AM",$E$2:E85,"N",$J$2:J85,"Y"),"")</f>
        <v/>
      </c>
      <c r="AK85" s="119">
        <f>IF(AND(AD85="Y",E85="N",I85="Y",OR(C85="3:45 AM",C85="5:45 AM")),SUMPRODUCT(($AD$2:AD85="Y")*($E$2:E85="N")*($I$2:I85="Y")*(($C$2:C85="3:45 AM")+($C$2:C85="5:45 AM"))), "")</f>
        <v/>
      </c>
      <c r="AL85" s="119">
        <f>IF(AND(AD85="Y",C85="12:15 PM",E85="N",K85&lt;&gt;"Y"),COUNTIFS($AD$2:AD85,"Y",$C$2:C85,"12:15 PM",$E$2:E85,"N",$K$2:K85,"&lt;&gt;Y"),"")</f>
        <v/>
      </c>
      <c r="AM85" s="119">
        <f>IF(AND(AD85="Y",C85="2:00 PM",E85="N",K85&lt;&gt;"Y"),COUNTIFS($AD$2:AD85,"Y",$C$2:C85,"2:00 PM",$E$2:E85,"N",$K$2:K85,"&lt;&gt;Y"),"")</f>
        <v/>
      </c>
      <c r="AN85" s="119">
        <f>IF(AND(AD85="Y",E85="N",K85="Y",OR(C85="12:15 PM",C85="2:00 PM")),SUMPRODUCT(($AD$2:AD85="Y")*($E$2:E85="N")*($K$2:K85="Y")*(($C$2:C85="12:15 PM")+($C$2:C85="2:00 PM"))), "")</f>
        <v/>
      </c>
      <c r="AO85" s="119">
        <f>IF(AND(AD85="Y",C85="12:15 PM",E85="N",L85="Y"),COUNTIFS($AD$2:AD85,"Y",$C$2:C85,"12:15 PM",$E$2:E85,"N",$L$2:L85,"Y"),"")</f>
        <v/>
      </c>
      <c r="AP85" s="119">
        <f>IF(AND(AD85="Y",C85="2:00 PM",E85="N",L85="Y"),COUNTIFS($AD$2:AD85,"Y",$C$2:C85,"2:00 PM",$E$2:E85,"N",$L$2:L85,"Y"),"")</f>
        <v/>
      </c>
    </row>
    <row r="86" ht="14.25" customHeight="1" s="120">
      <c r="A86" s="231" t="inlineStr">
        <is>
          <t>EMP-0089</t>
        </is>
      </c>
      <c r="B86" s="232" t="inlineStr">
        <is>
          <t>Kimora Mcnair</t>
        </is>
      </c>
      <c r="C86" s="232" t="inlineStr">
        <is>
          <t>5:45 AM</t>
        </is>
      </c>
      <c r="D86" s="232" t="inlineStr">
        <is>
          <t>Mon, Tue</t>
        </is>
      </c>
      <c r="E86" s="232" t="inlineStr">
        <is>
          <t>N</t>
        </is>
      </c>
      <c r="F86" s="232" t="inlineStr">
        <is>
          <t>N</t>
        </is>
      </c>
      <c r="G86" s="232" t="inlineStr">
        <is>
          <t>Y</t>
        </is>
      </c>
      <c r="H86" s="232" t="inlineStr">
        <is>
          <t>None</t>
        </is>
      </c>
      <c r="I86" s="232" t="inlineStr">
        <is>
          <t>N</t>
        </is>
      </c>
      <c r="J86" s="232" t="inlineStr">
        <is>
          <t>N</t>
        </is>
      </c>
      <c r="K86" s="232" t="inlineStr">
        <is>
          <t>N</t>
        </is>
      </c>
      <c r="L86" s="232" t="inlineStr">
        <is>
          <t>Y</t>
        </is>
      </c>
      <c r="M86" s="232" t="inlineStr">
        <is>
          <t>Standard</t>
        </is>
      </c>
      <c r="N86" s="232" t="n"/>
      <c r="O86" s="232" t="n"/>
      <c r="P86" s="232" t="inlineStr">
        <is>
          <t>N</t>
        </is>
      </c>
      <c r="Q86" s="232" t="n"/>
      <c r="R86" s="232" t="n"/>
      <c r="S86" s="232" t="n"/>
      <c r="T86" s="233" t="inlineStr">
        <is>
          <t>N</t>
        </is>
      </c>
      <c r="U86" s="227">
        <f>IF($B86="","",IF(AND($G86="Y",ISERROR(SEARCH(TEXT('Control Center'!$B$3,"ddd"),TRIM($D86)))),"Y","N"))</f>
        <v/>
      </c>
      <c r="V86" s="227">
        <f>IF($B86="","",IF(AND($U86="Y",OR($C86="3:45 AM",$C86="5:45 AM"),OR('Control Center'!$B$4="N",$K86&lt;&gt;"Y")),"Y","N"))</f>
        <v/>
      </c>
      <c r="W86" s="227">
        <f>IF($B86="","",IF(AND($U86="Y",OR($C86="12:15 PM",$C86="2:00 PM"),OR('Control Center'!$B$5="N",$K86&lt;&gt;"Y")),"Y","N"))</f>
        <v/>
      </c>
      <c r="X86" s="228" t="n"/>
      <c r="Y86" s="229" t="n"/>
      <c r="Z86" s="228" t="n"/>
      <c r="AA86" s="229" t="n"/>
      <c r="AB86" s="230">
        <f>IF($B86="","",IF($P86="Y",IF($Y86="Y","Completed","In Progress"),""))</f>
        <v/>
      </c>
      <c r="AC86" s="119">
        <f>IF($B86="","",IF(COUNTIFS('Approved Absences'!$A$2:$A$200,$B86,'Approved Absences'!$B$2:$B$200,"&lt;="&amp;INT('Control Center'!$B$3),'Approved Absences'!$C$2:$C$200,"&gt;="&amp;INT('Control Center'!$B$3))&gt;0,"Y","N"))</f>
        <v/>
      </c>
      <c r="AD86" s="119">
        <f>IF($B86="","",IF(AND($G86="Y",$AC86&lt;&gt;"Y",ISERROR(SEARCH(TEXT('Control Center'!$B$3,"ddd"),TRIM($D86)))),"Y","N"))</f>
        <v/>
      </c>
      <c r="AE86" s="119">
        <f>IF(AND(AD86="Y",C86="3:45 AM",E86="N",K86&lt;&gt;"Y"),COUNTIFS($AD$2:AD86,"Y",$C$2:C86,"3:45 AM",$E$2:E86,"N",$K$2:K86,"&lt;&gt;Y"),"")</f>
        <v/>
      </c>
      <c r="AF86" s="119">
        <f>IF(AND(AD86="Y",C86="5:45 AM",E86="N",K86&lt;&gt;"Y"),COUNTIFS($AD$2:AD86,"Y",$C$2:C86,"5:45 AM",$E$2:E86,"N",$K$2:K86,"&lt;&gt;Y"),"")</f>
        <v/>
      </c>
      <c r="AG86" s="119">
        <f>IF(AND(AD86="Y",C86="3:45 AM",E86="N",L86="Y",K86&lt;&gt;"Y"),COUNTIFS($AD$2:AD86,"Y",$C$2:C86,"3:45 AM",$E$2:E86,"N",$L$2:L86,"Y",$K$2:K86,"&lt;&gt;Y"),"")</f>
        <v/>
      </c>
      <c r="AH86" s="119">
        <f>IF(AND(AD86="Y",C86="5:45 AM",E86="N",L86="Y",K86&lt;&gt;"Y"),COUNTIFS($AD$2:AD86,"Y",$C$2:C86,"5:45 AM",$E$2:E86,"N",$L$2:L86,"Y",$K$2:K86,"&lt;&gt;Y"),"")</f>
        <v/>
      </c>
      <c r="AI86" s="119">
        <f>IF(AND(AD86="Y",E86="N",K86="Y",OR(C86="3:45 AM",C86="5:45 AM")),SUMPRODUCT(($AD$2:AD86="Y")*($E$2:E86="N")*($K$2:K86="Y")*(($C$2:C86="3:45 AM")+($C$2:C86="5:45 AM"))), "")</f>
        <v/>
      </c>
      <c r="AJ86" s="119">
        <f>IF(AND(AD86="Y",C86="3:45 AM",E86="N",J86="Y"),COUNTIFS($AD$2:AD86,"Y",$C$2:C86,"3:45 AM",$E$2:E86,"N",$J$2:J86,"Y"),"")</f>
        <v/>
      </c>
      <c r="AK86" s="119">
        <f>IF(AND(AD86="Y",E86="N",I86="Y",OR(C86="3:45 AM",C86="5:45 AM")),SUMPRODUCT(($AD$2:AD86="Y")*($E$2:E86="N")*($I$2:I86="Y")*(($C$2:C86="3:45 AM")+($C$2:C86="5:45 AM"))), "")</f>
        <v/>
      </c>
      <c r="AL86" s="119">
        <f>IF(AND(AD86="Y",C86="12:15 PM",E86="N",K86&lt;&gt;"Y"),COUNTIFS($AD$2:AD86,"Y",$C$2:C86,"12:15 PM",$E$2:E86,"N",$K$2:K86,"&lt;&gt;Y"),"")</f>
        <v/>
      </c>
      <c r="AM86" s="119">
        <f>IF(AND(AD86="Y",C86="2:00 PM",E86="N",K86&lt;&gt;"Y"),COUNTIFS($AD$2:AD86,"Y",$C$2:C86,"2:00 PM",$E$2:E86,"N",$K$2:K86,"&lt;&gt;Y"),"")</f>
        <v/>
      </c>
      <c r="AN86" s="119">
        <f>IF(AND(AD86="Y",E86="N",K86="Y",OR(C86="12:15 PM",C86="2:00 PM")),SUMPRODUCT(($AD$2:AD86="Y")*($E$2:E86="N")*($K$2:K86="Y")*(($C$2:C86="12:15 PM")+($C$2:C86="2:00 PM"))), "")</f>
        <v/>
      </c>
      <c r="AO86" s="119">
        <f>IF(AND(AD86="Y",C86="12:15 PM",E86="N",L86="Y"),COUNTIFS($AD$2:AD86,"Y",$C$2:C86,"12:15 PM",$E$2:E86,"N",$L$2:L86,"Y"),"")</f>
        <v/>
      </c>
      <c r="AP86" s="119">
        <f>IF(AND(AD86="Y",C86="2:00 PM",E86="N",L86="Y"),COUNTIFS($AD$2:AD86,"Y",$C$2:C86,"2:00 PM",$E$2:E86,"N",$L$2:L86,"Y"),"")</f>
        <v/>
      </c>
    </row>
    <row r="87" ht="14.25" customHeight="1" s="120">
      <c r="A87" s="231" t="inlineStr">
        <is>
          <t>EMP-0090</t>
        </is>
      </c>
      <c r="B87" s="232" t="inlineStr">
        <is>
          <t>Kori Jenkins</t>
        </is>
      </c>
      <c r="C87" s="232" t="inlineStr">
        <is>
          <t>2:00 PM</t>
        </is>
      </c>
      <c r="D87" s="232" t="inlineStr">
        <is>
          <t>Thu, Fri</t>
        </is>
      </c>
      <c r="E87" s="232" t="inlineStr">
        <is>
          <t>N</t>
        </is>
      </c>
      <c r="F87" s="232" t="inlineStr">
        <is>
          <t>N</t>
        </is>
      </c>
      <c r="G87" s="232" t="inlineStr">
        <is>
          <t>Y</t>
        </is>
      </c>
      <c r="H87" s="232" t="inlineStr">
        <is>
          <t>None</t>
        </is>
      </c>
      <c r="I87" s="232" t="inlineStr">
        <is>
          <t>Y</t>
        </is>
      </c>
      <c r="J87" s="232" t="inlineStr">
        <is>
          <t>Y</t>
        </is>
      </c>
      <c r="K87" s="232" t="inlineStr">
        <is>
          <t>N</t>
        </is>
      </c>
      <c r="L87" s="232" t="inlineStr">
        <is>
          <t>Y</t>
        </is>
      </c>
      <c r="M87" s="232" t="inlineStr">
        <is>
          <t>Standard</t>
        </is>
      </c>
      <c r="N87" s="232" t="n"/>
      <c r="O87" s="232" t="n"/>
      <c r="P87" s="232" t="inlineStr">
        <is>
          <t>N</t>
        </is>
      </c>
      <c r="Q87" s="232" t="n"/>
      <c r="R87" s="232" t="n"/>
      <c r="S87" s="232" t="n"/>
      <c r="T87" s="233" t="inlineStr">
        <is>
          <t>N</t>
        </is>
      </c>
      <c r="U87" s="227">
        <f>IF($B87="","",IF(AND($G87="Y",ISERROR(SEARCH(TEXT('Control Center'!$B$3,"ddd"),TRIM($D87)))),"Y","N"))</f>
        <v/>
      </c>
      <c r="V87" s="227">
        <f>IF($B87="","",IF(AND($U87="Y",OR($C87="3:45 AM",$C87="5:45 AM"),OR('Control Center'!$B$4="N",$K87&lt;&gt;"Y")),"Y","N"))</f>
        <v/>
      </c>
      <c r="W87" s="227">
        <f>IF($B87="","",IF(AND($U87="Y",OR($C87="12:15 PM",$C87="2:00 PM"),OR('Control Center'!$B$5="N",$K87&lt;&gt;"Y")),"Y","N"))</f>
        <v/>
      </c>
      <c r="X87" s="228" t="n"/>
      <c r="Y87" s="229" t="n"/>
      <c r="Z87" s="228" t="n"/>
      <c r="AA87" s="229" t="n"/>
      <c r="AB87" s="230">
        <f>IF($B87="","",IF($P87="Y",IF($Y87="Y","Completed","In Progress"),""))</f>
        <v/>
      </c>
      <c r="AC87" s="119">
        <f>IF($B87="","",IF(COUNTIFS('Approved Absences'!$A$2:$A$200,$B87,'Approved Absences'!$B$2:$B$200,"&lt;="&amp;INT('Control Center'!$B$3),'Approved Absences'!$C$2:$C$200,"&gt;="&amp;INT('Control Center'!$B$3))&gt;0,"Y","N"))</f>
        <v/>
      </c>
      <c r="AD87" s="119">
        <f>IF($B87="","",IF(AND($G87="Y",$AC87&lt;&gt;"Y",ISERROR(SEARCH(TEXT('Control Center'!$B$3,"ddd"),TRIM($D87)))),"Y","N"))</f>
        <v/>
      </c>
      <c r="AE87" s="119">
        <f>IF(AND(AD87="Y",C87="3:45 AM",E87="N",K87&lt;&gt;"Y"),COUNTIFS($AD$2:AD87,"Y",$C$2:C87,"3:45 AM",$E$2:E87,"N",$K$2:K87,"&lt;&gt;Y"),"")</f>
        <v/>
      </c>
      <c r="AF87" s="119">
        <f>IF(AND(AD87="Y",C87="5:45 AM",E87="N",K87&lt;&gt;"Y"),COUNTIFS($AD$2:AD87,"Y",$C$2:C87,"5:45 AM",$E$2:E87,"N",$K$2:K87,"&lt;&gt;Y"),"")</f>
        <v/>
      </c>
      <c r="AG87" s="119">
        <f>IF(AND(AD87="Y",C87="3:45 AM",E87="N",L87="Y",K87&lt;&gt;"Y"),COUNTIFS($AD$2:AD87,"Y",$C$2:C87,"3:45 AM",$E$2:E87,"N",$L$2:L87,"Y",$K$2:K87,"&lt;&gt;Y"),"")</f>
        <v/>
      </c>
      <c r="AH87" s="119">
        <f>IF(AND(AD87="Y",C87="5:45 AM",E87="N",L87="Y",K87&lt;&gt;"Y"),COUNTIFS($AD$2:AD87,"Y",$C$2:C87,"5:45 AM",$E$2:E87,"N",$L$2:L87,"Y",$K$2:K87,"&lt;&gt;Y"),"")</f>
        <v/>
      </c>
      <c r="AI87" s="119">
        <f>IF(AND(AD87="Y",E87="N",K87="Y",OR(C87="3:45 AM",C87="5:45 AM")),SUMPRODUCT(($AD$2:AD87="Y")*($E$2:E87="N")*($K$2:K87="Y")*(($C$2:C87="3:45 AM")+($C$2:C87="5:45 AM"))), "")</f>
        <v/>
      </c>
      <c r="AJ87" s="119">
        <f>IF(AND(AD87="Y",C87="3:45 AM",E87="N",J87="Y"),COUNTIFS($AD$2:AD87,"Y",$C$2:C87,"3:45 AM",$E$2:E87,"N",$J$2:J87,"Y"),"")</f>
        <v/>
      </c>
      <c r="AK87" s="119">
        <f>IF(AND(AD87="Y",E87="N",I87="Y",OR(C87="3:45 AM",C87="5:45 AM")),SUMPRODUCT(($AD$2:AD87="Y")*($E$2:E87="N")*($I$2:I87="Y")*(($C$2:C87="3:45 AM")+($C$2:C87="5:45 AM"))), "")</f>
        <v/>
      </c>
      <c r="AL87" s="119">
        <f>IF(AND(AD87="Y",C87="12:15 PM",E87="N",K87&lt;&gt;"Y"),COUNTIFS($AD$2:AD87,"Y",$C$2:C87,"12:15 PM",$E$2:E87,"N",$K$2:K87,"&lt;&gt;Y"),"")</f>
        <v/>
      </c>
      <c r="AM87" s="119">
        <f>IF(AND(AD87="Y",C87="2:00 PM",E87="N",K87&lt;&gt;"Y"),COUNTIFS($AD$2:AD87,"Y",$C$2:C87,"2:00 PM",$E$2:E87,"N",$K$2:K87,"&lt;&gt;Y"),"")</f>
        <v/>
      </c>
      <c r="AN87" s="119">
        <f>IF(AND(AD87="Y",E87="N",K87="Y",OR(C87="12:15 PM",C87="2:00 PM")),SUMPRODUCT(($AD$2:AD87="Y")*($E$2:E87="N")*($K$2:K87="Y")*(($C$2:C87="12:15 PM")+($C$2:C87="2:00 PM"))), "")</f>
        <v/>
      </c>
      <c r="AO87" s="119">
        <f>IF(AND(AD87="Y",C87="12:15 PM",E87="N",L87="Y"),COUNTIFS($AD$2:AD87,"Y",$C$2:C87,"12:15 PM",$E$2:E87,"N",$L$2:L87,"Y"),"")</f>
        <v/>
      </c>
      <c r="AP87" s="119">
        <f>IF(AND(AD87="Y",C87="2:00 PM",E87="N",L87="Y"),COUNTIFS($AD$2:AD87,"Y",$C$2:C87,"2:00 PM",$E$2:E87,"N",$L$2:L87,"Y"),"")</f>
        <v/>
      </c>
    </row>
    <row r="88" ht="14.25" customHeight="1" s="120">
      <c r="A88" s="231" t="inlineStr">
        <is>
          <t>EMP-0091</t>
        </is>
      </c>
      <c r="B88" s="232" t="inlineStr">
        <is>
          <t>Larry Fuller</t>
        </is>
      </c>
      <c r="C88" s="232" t="inlineStr">
        <is>
          <t>3:45 AM</t>
        </is>
      </c>
      <c r="D88" s="232" t="inlineStr">
        <is>
          <t>Sat, Sun</t>
        </is>
      </c>
      <c r="E88" s="232" t="inlineStr">
        <is>
          <t>N</t>
        </is>
      </c>
      <c r="F88" s="232" t="inlineStr">
        <is>
          <t>N</t>
        </is>
      </c>
      <c r="G88" s="232" t="inlineStr">
        <is>
          <t>Y</t>
        </is>
      </c>
      <c r="H88" s="232" t="inlineStr">
        <is>
          <t>None</t>
        </is>
      </c>
      <c r="I88" s="232" t="inlineStr">
        <is>
          <t>N</t>
        </is>
      </c>
      <c r="J88" s="232" t="inlineStr">
        <is>
          <t>N</t>
        </is>
      </c>
      <c r="K88" s="232" t="inlineStr">
        <is>
          <t>N</t>
        </is>
      </c>
      <c r="L88" s="232" t="inlineStr">
        <is>
          <t>N</t>
        </is>
      </c>
      <c r="M88" s="232" t="inlineStr">
        <is>
          <t>Standard</t>
        </is>
      </c>
      <c r="N88" s="232" t="n"/>
      <c r="O88" s="232" t="n"/>
      <c r="P88" s="232" t="inlineStr">
        <is>
          <t>N</t>
        </is>
      </c>
      <c r="Q88" s="232" t="n"/>
      <c r="R88" s="232" t="n"/>
      <c r="S88" s="232" t="n"/>
      <c r="T88" s="233" t="inlineStr">
        <is>
          <t>N</t>
        </is>
      </c>
      <c r="U88" s="227">
        <f>IF($B88="","",IF(AND($G88="Y",ISERROR(SEARCH(TEXT('Control Center'!$B$3,"ddd"),TRIM($D88)))),"Y","N"))</f>
        <v/>
      </c>
      <c r="V88" s="227">
        <f>IF($B88="","",IF(AND($U88="Y",OR($C88="3:45 AM",$C88="5:45 AM"),OR('Control Center'!$B$4="N",$K88&lt;&gt;"Y")),"Y","N"))</f>
        <v/>
      </c>
      <c r="W88" s="227">
        <f>IF($B88="","",IF(AND($U88="Y",OR($C88="12:15 PM",$C88="2:00 PM"),OR('Control Center'!$B$5="N",$K88&lt;&gt;"Y")),"Y","N"))</f>
        <v/>
      </c>
      <c r="X88" s="228" t="n"/>
      <c r="Y88" s="229" t="n"/>
      <c r="Z88" s="228" t="n"/>
      <c r="AA88" s="229" t="n"/>
      <c r="AB88" s="230">
        <f>IF($B88="","",IF($P88="Y",IF($Y88="Y","Completed","In Progress"),""))</f>
        <v/>
      </c>
      <c r="AC88" s="119">
        <f>IF($B88="","",IF(COUNTIFS('Approved Absences'!$A$2:$A$200,$B88,'Approved Absences'!$B$2:$B$200,"&lt;="&amp;INT('Control Center'!$B$3),'Approved Absences'!$C$2:$C$200,"&gt;="&amp;INT('Control Center'!$B$3))&gt;0,"Y","N"))</f>
        <v/>
      </c>
      <c r="AD88" s="119">
        <f>IF($B88="","",IF(AND($G88="Y",$AC88&lt;&gt;"Y",ISERROR(SEARCH(TEXT('Control Center'!$B$3,"ddd"),TRIM($D88)))),"Y","N"))</f>
        <v/>
      </c>
      <c r="AE88" s="119">
        <f>IF(AND(AD88="Y",C88="3:45 AM",E88="N",K88&lt;&gt;"Y"),COUNTIFS($AD$2:AD88,"Y",$C$2:C88,"3:45 AM",$E$2:E88,"N",$K$2:K88,"&lt;&gt;Y"),"")</f>
        <v/>
      </c>
      <c r="AF88" s="119">
        <f>IF(AND(AD88="Y",C88="5:45 AM",E88="N",K88&lt;&gt;"Y"),COUNTIFS($AD$2:AD88,"Y",$C$2:C88,"5:45 AM",$E$2:E88,"N",$K$2:K88,"&lt;&gt;Y"),"")</f>
        <v/>
      </c>
      <c r="AG88" s="119">
        <f>IF(AND(AD88="Y",C88="3:45 AM",E88="N",L88="Y",K88&lt;&gt;"Y"),COUNTIFS($AD$2:AD88,"Y",$C$2:C88,"3:45 AM",$E$2:E88,"N",$L$2:L88,"Y",$K$2:K88,"&lt;&gt;Y"),"")</f>
        <v/>
      </c>
      <c r="AH88" s="119">
        <f>IF(AND(AD88="Y",C88="5:45 AM",E88="N",L88="Y",K88&lt;&gt;"Y"),COUNTIFS($AD$2:AD88,"Y",$C$2:C88,"5:45 AM",$E$2:E88,"N",$L$2:L88,"Y",$K$2:K88,"&lt;&gt;Y"),"")</f>
        <v/>
      </c>
      <c r="AI88" s="119">
        <f>IF(AND(AD88="Y",E88="N",K88="Y",OR(C88="3:45 AM",C88="5:45 AM")),SUMPRODUCT(($AD$2:AD88="Y")*($E$2:E88="N")*($K$2:K88="Y")*(($C$2:C88="3:45 AM")+($C$2:C88="5:45 AM"))), "")</f>
        <v/>
      </c>
      <c r="AJ88" s="119">
        <f>IF(AND(AD88="Y",C88="3:45 AM",E88="N",J88="Y"),COUNTIFS($AD$2:AD88,"Y",$C$2:C88,"3:45 AM",$E$2:E88,"N",$J$2:J88,"Y"),"")</f>
        <v/>
      </c>
      <c r="AK88" s="119">
        <f>IF(AND(AD88="Y",E88="N",I88="Y",OR(C88="3:45 AM",C88="5:45 AM")),SUMPRODUCT(($AD$2:AD88="Y")*($E$2:E88="N")*($I$2:I88="Y")*(($C$2:C88="3:45 AM")+($C$2:C88="5:45 AM"))), "")</f>
        <v/>
      </c>
      <c r="AL88" s="119">
        <f>IF(AND(AD88="Y",C88="12:15 PM",E88="N",K88&lt;&gt;"Y"),COUNTIFS($AD$2:AD88,"Y",$C$2:C88,"12:15 PM",$E$2:E88,"N",$K$2:K88,"&lt;&gt;Y"),"")</f>
        <v/>
      </c>
      <c r="AM88" s="119">
        <f>IF(AND(AD88="Y",C88="2:00 PM",E88="N",K88&lt;&gt;"Y"),COUNTIFS($AD$2:AD88,"Y",$C$2:C88,"2:00 PM",$E$2:E88,"N",$K$2:K88,"&lt;&gt;Y"),"")</f>
        <v/>
      </c>
      <c r="AN88" s="119">
        <f>IF(AND(AD88="Y",E88="N",K88="Y",OR(C88="12:15 PM",C88="2:00 PM")),SUMPRODUCT(($AD$2:AD88="Y")*($E$2:E88="N")*($K$2:K88="Y")*(($C$2:C88="12:15 PM")+($C$2:C88="2:00 PM"))), "")</f>
        <v/>
      </c>
      <c r="AO88" s="119">
        <f>IF(AND(AD88="Y",C88="12:15 PM",E88="N",L88="Y"),COUNTIFS($AD$2:AD88,"Y",$C$2:C88,"12:15 PM",$E$2:E88,"N",$L$2:L88,"Y"),"")</f>
        <v/>
      </c>
      <c r="AP88" s="119">
        <f>IF(AND(AD88="Y",C88="2:00 PM",E88="N",L88="Y"),COUNTIFS($AD$2:AD88,"Y",$C$2:C88,"2:00 PM",$E$2:E88,"N",$L$2:L88,"Y"),"")</f>
        <v/>
      </c>
    </row>
    <row r="89" ht="14.25" customHeight="1" s="120">
      <c r="A89" s="231" t="inlineStr">
        <is>
          <t>EMP-0092</t>
        </is>
      </c>
      <c r="B89" s="232" t="inlineStr">
        <is>
          <t>Lawrence Bonner</t>
        </is>
      </c>
      <c r="C89" s="232" t="inlineStr">
        <is>
          <t>9:15 PM</t>
        </is>
      </c>
      <c r="D89" s="232" t="inlineStr">
        <is>
          <t>Sat, Sun</t>
        </is>
      </c>
      <c r="E89" s="232" t="inlineStr">
        <is>
          <t>N</t>
        </is>
      </c>
      <c r="F89" s="232" t="inlineStr">
        <is>
          <t>N</t>
        </is>
      </c>
      <c r="G89" s="232" t="inlineStr">
        <is>
          <t>Y</t>
        </is>
      </c>
      <c r="H89" s="232" t="inlineStr">
        <is>
          <t>None</t>
        </is>
      </c>
      <c r="I89" s="232" t="inlineStr">
        <is>
          <t>N</t>
        </is>
      </c>
      <c r="J89" s="232" t="inlineStr">
        <is>
          <t>N</t>
        </is>
      </c>
      <c r="K89" s="232" t="inlineStr">
        <is>
          <t>N</t>
        </is>
      </c>
      <c r="L89" s="232" t="inlineStr">
        <is>
          <t>N</t>
        </is>
      </c>
      <c r="M89" s="232" t="inlineStr">
        <is>
          <t>Standard</t>
        </is>
      </c>
      <c r="N89" s="232" t="n"/>
      <c r="O89" s="232" t="n"/>
      <c r="P89" s="232" t="inlineStr">
        <is>
          <t>N</t>
        </is>
      </c>
      <c r="Q89" s="232" t="n"/>
      <c r="R89" s="232" t="n"/>
      <c r="S89" s="232" t="n"/>
      <c r="T89" s="233" t="inlineStr">
        <is>
          <t>Y</t>
        </is>
      </c>
      <c r="U89" s="227">
        <f>IF($B89="","",IF(AND($G89="Y",ISERROR(SEARCH(TEXT('Control Center'!$B$3,"ddd"),TRIM($D89)))),"Y","N"))</f>
        <v/>
      </c>
      <c r="V89" s="227">
        <f>IF($B89="","",IF(AND($U89="Y",OR($C89="3:45 AM",$C89="5:45 AM"),OR('Control Center'!$B$4="N",$K89&lt;&gt;"Y")),"Y","N"))</f>
        <v/>
      </c>
      <c r="W89" s="227">
        <f>IF($B89="","",IF(AND($U89="Y",OR($C89="12:15 PM",$C89="2:00 PM"),OR('Control Center'!$B$5="N",$K89&lt;&gt;"Y")),"Y","N"))</f>
        <v/>
      </c>
      <c r="X89" s="228" t="n"/>
      <c r="Y89" s="229" t="n"/>
      <c r="Z89" s="228" t="n"/>
      <c r="AA89" s="229" t="n"/>
      <c r="AB89" s="230">
        <f>IF($B89="","",IF($P89="Y",IF($Y89="Y","Completed","In Progress"),""))</f>
        <v/>
      </c>
      <c r="AC89" s="119">
        <f>IF($B89="","",IF(COUNTIFS('Approved Absences'!$A$2:$A$200,$B89,'Approved Absences'!$B$2:$B$200,"&lt;="&amp;INT('Control Center'!$B$3),'Approved Absences'!$C$2:$C$200,"&gt;="&amp;INT('Control Center'!$B$3))&gt;0,"Y","N"))</f>
        <v/>
      </c>
      <c r="AD89" s="119">
        <f>IF($B89="","",IF(AND($G89="Y",$AC89&lt;&gt;"Y",ISERROR(SEARCH(TEXT('Control Center'!$B$3,"ddd"),TRIM($D89)))),"Y","N"))</f>
        <v/>
      </c>
      <c r="AE89" s="119">
        <f>IF(AND(AD89="Y",C89="3:45 AM",E89="N",K89&lt;&gt;"Y"),COUNTIFS($AD$2:AD89,"Y",$C$2:C89,"3:45 AM",$E$2:E89,"N",$K$2:K89,"&lt;&gt;Y"),"")</f>
        <v/>
      </c>
      <c r="AF89" s="119">
        <f>IF(AND(AD89="Y",C89="5:45 AM",E89="N",K89&lt;&gt;"Y"),COUNTIFS($AD$2:AD89,"Y",$C$2:C89,"5:45 AM",$E$2:E89,"N",$K$2:K89,"&lt;&gt;Y"),"")</f>
        <v/>
      </c>
      <c r="AG89" s="119">
        <f>IF(AND(AD89="Y",C89="3:45 AM",E89="N",L89="Y",K89&lt;&gt;"Y"),COUNTIFS($AD$2:AD89,"Y",$C$2:C89,"3:45 AM",$E$2:E89,"N",$L$2:L89,"Y",$K$2:K89,"&lt;&gt;Y"),"")</f>
        <v/>
      </c>
      <c r="AH89" s="119">
        <f>IF(AND(AD89="Y",C89="5:45 AM",E89="N",L89="Y",K89&lt;&gt;"Y"),COUNTIFS($AD$2:AD89,"Y",$C$2:C89,"5:45 AM",$E$2:E89,"N",$L$2:L89,"Y",$K$2:K89,"&lt;&gt;Y"),"")</f>
        <v/>
      </c>
      <c r="AI89" s="119">
        <f>IF(AND(AD89="Y",E89="N",K89="Y",OR(C89="3:45 AM",C89="5:45 AM")),SUMPRODUCT(($AD$2:AD89="Y")*($E$2:E89="N")*($K$2:K89="Y")*(($C$2:C89="3:45 AM")+($C$2:C89="5:45 AM"))), "")</f>
        <v/>
      </c>
      <c r="AJ89" s="119">
        <f>IF(AND(AD89="Y",C89="3:45 AM",E89="N",J89="Y"),COUNTIFS($AD$2:AD89,"Y",$C$2:C89,"3:45 AM",$E$2:E89,"N",$J$2:J89,"Y"),"")</f>
        <v/>
      </c>
      <c r="AK89" s="119">
        <f>IF(AND(AD89="Y",E89="N",I89="Y",OR(C89="3:45 AM",C89="5:45 AM")),SUMPRODUCT(($AD$2:AD89="Y")*($E$2:E89="N")*($I$2:I89="Y")*(($C$2:C89="3:45 AM")+($C$2:C89="5:45 AM"))), "")</f>
        <v/>
      </c>
      <c r="AL89" s="119">
        <f>IF(AND(AD89="Y",C89="12:15 PM",E89="N",K89&lt;&gt;"Y"),COUNTIFS($AD$2:AD89,"Y",$C$2:C89,"12:15 PM",$E$2:E89,"N",$K$2:K89,"&lt;&gt;Y"),"")</f>
        <v/>
      </c>
      <c r="AM89" s="119">
        <f>IF(AND(AD89="Y",C89="2:00 PM",E89="N",K89&lt;&gt;"Y"),COUNTIFS($AD$2:AD89,"Y",$C$2:C89,"2:00 PM",$E$2:E89,"N",$K$2:K89,"&lt;&gt;Y"),"")</f>
        <v/>
      </c>
      <c r="AN89" s="119">
        <f>IF(AND(AD89="Y",E89="N",K89="Y",OR(C89="12:15 PM",C89="2:00 PM")),SUMPRODUCT(($AD$2:AD89="Y")*($E$2:E89="N")*($K$2:K89="Y")*(($C$2:C89="12:15 PM")+($C$2:C89="2:00 PM"))), "")</f>
        <v/>
      </c>
      <c r="AO89" s="119">
        <f>IF(AND(AD89="Y",C89="12:15 PM",E89="N",L89="Y"),COUNTIFS($AD$2:AD89,"Y",$C$2:C89,"12:15 PM",$E$2:E89,"N",$L$2:L89,"Y"),"")</f>
        <v/>
      </c>
      <c r="AP89" s="119">
        <f>IF(AND(AD89="Y",C89="2:00 PM",E89="N",L89="Y"),COUNTIFS($AD$2:AD89,"Y",$C$2:C89,"2:00 PM",$E$2:E89,"N",$L$2:L89,"Y"),"")</f>
        <v/>
      </c>
    </row>
    <row r="90" ht="14.25" customHeight="1" s="120">
      <c r="A90" s="231" t="inlineStr">
        <is>
          <t>EMP-0093</t>
        </is>
      </c>
      <c r="B90" s="232" t="inlineStr">
        <is>
          <t>Lazaro Lopez</t>
        </is>
      </c>
      <c r="C90" s="232" t="inlineStr">
        <is>
          <t>3:45 AM</t>
        </is>
      </c>
      <c r="D90" s="232" t="inlineStr">
        <is>
          <t>Mon, Tue</t>
        </is>
      </c>
      <c r="E90" s="232" t="inlineStr">
        <is>
          <t>N</t>
        </is>
      </c>
      <c r="F90" s="232" t="inlineStr">
        <is>
          <t>N</t>
        </is>
      </c>
      <c r="G90" s="232" t="inlineStr">
        <is>
          <t>Y</t>
        </is>
      </c>
      <c r="H90" s="232" t="inlineStr">
        <is>
          <t>None</t>
        </is>
      </c>
      <c r="I90" s="232" t="inlineStr">
        <is>
          <t>N</t>
        </is>
      </c>
      <c r="J90" s="232" t="inlineStr">
        <is>
          <t>Y</t>
        </is>
      </c>
      <c r="K90" s="232" t="inlineStr">
        <is>
          <t>N</t>
        </is>
      </c>
      <c r="L90" s="232" t="inlineStr">
        <is>
          <t>Y</t>
        </is>
      </c>
      <c r="M90" s="232" t="inlineStr">
        <is>
          <t>Standard</t>
        </is>
      </c>
      <c r="N90" s="232" t="n"/>
      <c r="O90" s="232" t="n"/>
      <c r="P90" s="232" t="inlineStr">
        <is>
          <t>N</t>
        </is>
      </c>
      <c r="Q90" s="232" t="n"/>
      <c r="R90" s="232" t="n"/>
      <c r="S90" s="232" t="n"/>
      <c r="T90" s="233" t="inlineStr">
        <is>
          <t>N</t>
        </is>
      </c>
      <c r="U90" s="227">
        <f>IF($B90="","",IF(AND($G90="Y",ISERROR(SEARCH(TEXT('Control Center'!$B$3,"ddd"),TRIM($D90)))),"Y","N"))</f>
        <v/>
      </c>
      <c r="V90" s="227">
        <f>IF($B90="","",IF(AND($U90="Y",OR($C90="3:45 AM",$C90="5:45 AM"),OR('Control Center'!$B$4="N",$K90&lt;&gt;"Y")),"Y","N"))</f>
        <v/>
      </c>
      <c r="W90" s="227">
        <f>IF($B90="","",IF(AND($U90="Y",OR($C90="12:15 PM",$C90="2:00 PM"),OR('Control Center'!$B$5="N",$K90&lt;&gt;"Y")),"Y","N"))</f>
        <v/>
      </c>
      <c r="X90" s="228" t="n"/>
      <c r="Y90" s="229" t="n"/>
      <c r="Z90" s="228" t="n"/>
      <c r="AA90" s="229" t="n"/>
      <c r="AB90" s="230">
        <f>IF($B90="","",IF($P90="Y",IF($Y90="Y","Completed","In Progress"),""))</f>
        <v/>
      </c>
      <c r="AC90" s="119">
        <f>IF($B90="","",IF(COUNTIFS('Approved Absences'!$A$2:$A$200,$B90,'Approved Absences'!$B$2:$B$200,"&lt;="&amp;INT('Control Center'!$B$3),'Approved Absences'!$C$2:$C$200,"&gt;="&amp;INT('Control Center'!$B$3))&gt;0,"Y","N"))</f>
        <v/>
      </c>
      <c r="AD90" s="119">
        <f>IF($B90="","",IF(AND($G90="Y",$AC90&lt;&gt;"Y",ISERROR(SEARCH(TEXT('Control Center'!$B$3,"ddd"),TRIM($D90)))),"Y","N"))</f>
        <v/>
      </c>
      <c r="AE90" s="119">
        <f>IF(AND(AD90="Y",C90="3:45 AM",E90="N",K90&lt;&gt;"Y"),COUNTIFS($AD$2:AD90,"Y",$C$2:C90,"3:45 AM",$E$2:E90,"N",$K$2:K90,"&lt;&gt;Y"),"")</f>
        <v/>
      </c>
      <c r="AF90" s="119">
        <f>IF(AND(AD90="Y",C90="5:45 AM",E90="N",K90&lt;&gt;"Y"),COUNTIFS($AD$2:AD90,"Y",$C$2:C90,"5:45 AM",$E$2:E90,"N",$K$2:K90,"&lt;&gt;Y"),"")</f>
        <v/>
      </c>
      <c r="AG90" s="119">
        <f>IF(AND(AD90="Y",C90="3:45 AM",E90="N",L90="Y",K90&lt;&gt;"Y"),COUNTIFS($AD$2:AD90,"Y",$C$2:C90,"3:45 AM",$E$2:E90,"N",$L$2:L90,"Y",$K$2:K90,"&lt;&gt;Y"),"")</f>
        <v/>
      </c>
      <c r="AH90" s="119">
        <f>IF(AND(AD90="Y",C90="5:45 AM",E90="N",L90="Y",K90&lt;&gt;"Y"),COUNTIFS($AD$2:AD90,"Y",$C$2:C90,"5:45 AM",$E$2:E90,"N",$L$2:L90,"Y",$K$2:K90,"&lt;&gt;Y"),"")</f>
        <v/>
      </c>
      <c r="AI90" s="119">
        <f>IF(AND(AD90="Y",E90="N",K90="Y",OR(C90="3:45 AM",C90="5:45 AM")),SUMPRODUCT(($AD$2:AD90="Y")*($E$2:E90="N")*($K$2:K90="Y")*(($C$2:C90="3:45 AM")+($C$2:C90="5:45 AM"))), "")</f>
        <v/>
      </c>
      <c r="AJ90" s="119">
        <f>IF(AND(AD90="Y",C90="3:45 AM",E90="N",J90="Y"),COUNTIFS($AD$2:AD90,"Y",$C$2:C90,"3:45 AM",$E$2:E90,"N",$J$2:J90,"Y"),"")</f>
        <v/>
      </c>
      <c r="AK90" s="119">
        <f>IF(AND(AD90="Y",E90="N",I90="Y",OR(C90="3:45 AM",C90="5:45 AM")),SUMPRODUCT(($AD$2:AD90="Y")*($E$2:E90="N")*($I$2:I90="Y")*(($C$2:C90="3:45 AM")+($C$2:C90="5:45 AM"))), "")</f>
        <v/>
      </c>
      <c r="AL90" s="119">
        <f>IF(AND(AD90="Y",C90="12:15 PM",E90="N",K90&lt;&gt;"Y"),COUNTIFS($AD$2:AD90,"Y",$C$2:C90,"12:15 PM",$E$2:E90,"N",$K$2:K90,"&lt;&gt;Y"),"")</f>
        <v/>
      </c>
      <c r="AM90" s="119">
        <f>IF(AND(AD90="Y",C90="2:00 PM",E90="N",K90&lt;&gt;"Y"),COUNTIFS($AD$2:AD90,"Y",$C$2:C90,"2:00 PM",$E$2:E90,"N",$K$2:K90,"&lt;&gt;Y"),"")</f>
        <v/>
      </c>
      <c r="AN90" s="119">
        <f>IF(AND(AD90="Y",E90="N",K90="Y",OR(C90="12:15 PM",C90="2:00 PM")),SUMPRODUCT(($AD$2:AD90="Y")*($E$2:E90="N")*($K$2:K90="Y")*(($C$2:C90="12:15 PM")+($C$2:C90="2:00 PM"))), "")</f>
        <v/>
      </c>
      <c r="AO90" s="119">
        <f>IF(AND(AD90="Y",C90="12:15 PM",E90="N",L90="Y"),COUNTIFS($AD$2:AD90,"Y",$C$2:C90,"12:15 PM",$E$2:E90,"N",$L$2:L90,"Y"),"")</f>
        <v/>
      </c>
      <c r="AP90" s="119">
        <f>IF(AND(AD90="Y",C90="2:00 PM",E90="N",L90="Y"),COUNTIFS($AD$2:AD90,"Y",$C$2:C90,"2:00 PM",$E$2:E90,"N",$L$2:L90,"Y"),"")</f>
        <v/>
      </c>
    </row>
    <row r="91" ht="14.25" customHeight="1" s="120">
      <c r="A91" s="231" t="inlineStr">
        <is>
          <t>EMP-0094</t>
        </is>
      </c>
      <c r="B91" s="232" t="inlineStr">
        <is>
          <t>Linda Rachel</t>
        </is>
      </c>
      <c r="C91" s="232" t="inlineStr">
        <is>
          <t>3:45 AM</t>
        </is>
      </c>
      <c r="D91" s="232" t="inlineStr">
        <is>
          <t>Sun, Mon</t>
        </is>
      </c>
      <c r="E91" s="232" t="inlineStr">
        <is>
          <t>N</t>
        </is>
      </c>
      <c r="F91" s="232" t="inlineStr">
        <is>
          <t>N</t>
        </is>
      </c>
      <c r="G91" s="232" t="inlineStr">
        <is>
          <t>Y</t>
        </is>
      </c>
      <c r="H91" s="232" t="inlineStr">
        <is>
          <t>None</t>
        </is>
      </c>
      <c r="I91" s="232" t="inlineStr">
        <is>
          <t>N</t>
        </is>
      </c>
      <c r="J91" s="232" t="inlineStr">
        <is>
          <t>N</t>
        </is>
      </c>
      <c r="K91" s="232" t="inlineStr">
        <is>
          <t>N</t>
        </is>
      </c>
      <c r="L91" s="232" t="inlineStr">
        <is>
          <t>Y</t>
        </is>
      </c>
      <c r="M91" s="232" t="inlineStr">
        <is>
          <t>Standard</t>
        </is>
      </c>
      <c r="N91" s="232" t="n"/>
      <c r="O91" s="232" t="n"/>
      <c r="P91" s="232" t="inlineStr">
        <is>
          <t>N</t>
        </is>
      </c>
      <c r="Q91" s="232" t="n"/>
      <c r="R91" s="232" t="n"/>
      <c r="S91" s="232" t="n"/>
      <c r="T91" s="233" t="inlineStr">
        <is>
          <t>N</t>
        </is>
      </c>
      <c r="U91" s="227">
        <f>IF($B91="","",IF(AND($G91="Y",ISERROR(SEARCH(TEXT('Control Center'!$B$3,"ddd"),TRIM($D91)))),"Y","N"))</f>
        <v/>
      </c>
      <c r="V91" s="227">
        <f>IF($B91="","",IF(AND($U91="Y",OR($C91="3:45 AM",$C91="5:45 AM"),OR('Control Center'!$B$4="N",$K91&lt;&gt;"Y")),"Y","N"))</f>
        <v/>
      </c>
      <c r="W91" s="227">
        <f>IF($B91="","",IF(AND($U91="Y",OR($C91="12:15 PM",$C91="2:00 PM"),OR('Control Center'!$B$5="N",$K91&lt;&gt;"Y")),"Y","N"))</f>
        <v/>
      </c>
      <c r="X91" s="228" t="n"/>
      <c r="Y91" s="229" t="n"/>
      <c r="Z91" s="228" t="n"/>
      <c r="AA91" s="229" t="n"/>
      <c r="AB91" s="230">
        <f>IF($B91="","",IF($P91="Y",IF($Y91="Y","Completed","In Progress"),""))</f>
        <v/>
      </c>
      <c r="AC91" s="119">
        <f>IF($B91="","",IF(COUNTIFS('Approved Absences'!$A$2:$A$200,$B91,'Approved Absences'!$B$2:$B$200,"&lt;="&amp;INT('Control Center'!$B$3),'Approved Absences'!$C$2:$C$200,"&gt;="&amp;INT('Control Center'!$B$3))&gt;0,"Y","N"))</f>
        <v/>
      </c>
      <c r="AD91" s="119">
        <f>IF($B91="","",IF(AND($G91="Y",$AC91&lt;&gt;"Y",ISERROR(SEARCH(TEXT('Control Center'!$B$3,"ddd"),TRIM($D91)))),"Y","N"))</f>
        <v/>
      </c>
      <c r="AE91" s="119">
        <f>IF(AND(AD91="Y",C91="3:45 AM",E91="N",K91&lt;&gt;"Y"),COUNTIFS($AD$2:AD91,"Y",$C$2:C91,"3:45 AM",$E$2:E91,"N",$K$2:K91,"&lt;&gt;Y"),"")</f>
        <v/>
      </c>
      <c r="AF91" s="119">
        <f>IF(AND(AD91="Y",C91="5:45 AM",E91="N",K91&lt;&gt;"Y"),COUNTIFS($AD$2:AD91,"Y",$C$2:C91,"5:45 AM",$E$2:E91,"N",$K$2:K91,"&lt;&gt;Y"),"")</f>
        <v/>
      </c>
      <c r="AG91" s="119">
        <f>IF(AND(AD91="Y",C91="3:45 AM",E91="N",L91="Y",K91&lt;&gt;"Y"),COUNTIFS($AD$2:AD91,"Y",$C$2:C91,"3:45 AM",$E$2:E91,"N",$L$2:L91,"Y",$K$2:K91,"&lt;&gt;Y"),"")</f>
        <v/>
      </c>
      <c r="AH91" s="119">
        <f>IF(AND(AD91="Y",C91="5:45 AM",E91="N",L91="Y",K91&lt;&gt;"Y"),COUNTIFS($AD$2:AD91,"Y",$C$2:C91,"5:45 AM",$E$2:E91,"N",$L$2:L91,"Y",$K$2:K91,"&lt;&gt;Y"),"")</f>
        <v/>
      </c>
      <c r="AI91" s="119">
        <f>IF(AND(AD91="Y",E91="N",K91="Y",OR(C91="3:45 AM",C91="5:45 AM")),SUMPRODUCT(($AD$2:AD91="Y")*($E$2:E91="N")*($K$2:K91="Y")*(($C$2:C91="3:45 AM")+($C$2:C91="5:45 AM"))), "")</f>
        <v/>
      </c>
      <c r="AJ91" s="119">
        <f>IF(AND(AD91="Y",C91="3:45 AM",E91="N",J91="Y"),COUNTIFS($AD$2:AD91,"Y",$C$2:C91,"3:45 AM",$E$2:E91,"N",$J$2:J91,"Y"),"")</f>
        <v/>
      </c>
      <c r="AK91" s="119">
        <f>IF(AND(AD91="Y",E91="N",I91="Y",OR(C91="3:45 AM",C91="5:45 AM")),SUMPRODUCT(($AD$2:AD91="Y")*($E$2:E91="N")*($I$2:I91="Y")*(($C$2:C91="3:45 AM")+($C$2:C91="5:45 AM"))), "")</f>
        <v/>
      </c>
      <c r="AL91" s="119">
        <f>IF(AND(AD91="Y",C91="12:15 PM",E91="N",K91&lt;&gt;"Y"),COUNTIFS($AD$2:AD91,"Y",$C$2:C91,"12:15 PM",$E$2:E91,"N",$K$2:K91,"&lt;&gt;Y"),"")</f>
        <v/>
      </c>
      <c r="AM91" s="119">
        <f>IF(AND(AD91="Y",C91="2:00 PM",E91="N",K91&lt;&gt;"Y"),COUNTIFS($AD$2:AD91,"Y",$C$2:C91,"2:00 PM",$E$2:E91,"N",$K$2:K91,"&lt;&gt;Y"),"")</f>
        <v/>
      </c>
      <c r="AN91" s="119">
        <f>IF(AND(AD91="Y",E91="N",K91="Y",OR(C91="12:15 PM",C91="2:00 PM")),SUMPRODUCT(($AD$2:AD91="Y")*($E$2:E91="N")*($K$2:K91="Y")*(($C$2:C91="12:15 PM")+($C$2:C91="2:00 PM"))), "")</f>
        <v/>
      </c>
      <c r="AO91" s="119">
        <f>IF(AND(AD91="Y",C91="12:15 PM",E91="N",L91="Y"),COUNTIFS($AD$2:AD91,"Y",$C$2:C91,"12:15 PM",$E$2:E91,"N",$L$2:L91,"Y"),"")</f>
        <v/>
      </c>
      <c r="AP91" s="119">
        <f>IF(AND(AD91="Y",C91="2:00 PM",E91="N",L91="Y"),COUNTIFS($AD$2:AD91,"Y",$C$2:C91,"2:00 PM",$E$2:E91,"N",$L$2:L91,"Y"),"")</f>
        <v/>
      </c>
    </row>
    <row r="92" ht="14.25" customHeight="1" s="120">
      <c r="A92" s="231" t="inlineStr">
        <is>
          <t>EMP-0095</t>
        </is>
      </c>
      <c r="B92" s="232" t="inlineStr">
        <is>
          <t>Linton Brereton</t>
        </is>
      </c>
      <c r="C92" s="232" t="inlineStr">
        <is>
          <t>5:45 AM</t>
        </is>
      </c>
      <c r="D92" s="232" t="inlineStr">
        <is>
          <t>Sun, Mon</t>
        </is>
      </c>
      <c r="E92" s="232" t="inlineStr">
        <is>
          <t>N</t>
        </is>
      </c>
      <c r="F92" s="232" t="inlineStr">
        <is>
          <t>N</t>
        </is>
      </c>
      <c r="G92" s="232" t="inlineStr">
        <is>
          <t>Y</t>
        </is>
      </c>
      <c r="H92" s="232" t="inlineStr">
        <is>
          <t>None</t>
        </is>
      </c>
      <c r="I92" s="232" t="inlineStr">
        <is>
          <t>N</t>
        </is>
      </c>
      <c r="J92" s="232" t="inlineStr">
        <is>
          <t>Y</t>
        </is>
      </c>
      <c r="K92" s="232" t="inlineStr">
        <is>
          <t>N</t>
        </is>
      </c>
      <c r="L92" s="232" t="inlineStr">
        <is>
          <t>Y</t>
        </is>
      </c>
      <c r="M92" s="232" t="inlineStr">
        <is>
          <t>Standard</t>
        </is>
      </c>
      <c r="N92" s="232" t="n"/>
      <c r="O92" s="232" t="n"/>
      <c r="P92" s="232" t="inlineStr">
        <is>
          <t>N</t>
        </is>
      </c>
      <c r="Q92" s="232" t="n"/>
      <c r="R92" s="232" t="n"/>
      <c r="S92" s="232" t="n"/>
      <c r="T92" s="233" t="inlineStr">
        <is>
          <t>N</t>
        </is>
      </c>
      <c r="U92" s="227">
        <f>IF($B92="","",IF(AND($G92="Y",ISERROR(SEARCH(TEXT('Control Center'!$B$3,"ddd"),TRIM($D92)))),"Y","N"))</f>
        <v/>
      </c>
      <c r="V92" s="227">
        <f>IF($B92="","",IF(AND($U92="Y",OR($C92="3:45 AM",$C92="5:45 AM"),OR('Control Center'!$B$4="N",$K92&lt;&gt;"Y")),"Y","N"))</f>
        <v/>
      </c>
      <c r="W92" s="227">
        <f>IF($B92="","",IF(AND($U92="Y",OR($C92="12:15 PM",$C92="2:00 PM"),OR('Control Center'!$B$5="N",$K92&lt;&gt;"Y")),"Y","N"))</f>
        <v/>
      </c>
      <c r="X92" s="228" t="n"/>
      <c r="Y92" s="229" t="n"/>
      <c r="Z92" s="228" t="n"/>
      <c r="AA92" s="229" t="n"/>
      <c r="AB92" s="230">
        <f>IF($B92="","",IF($P92="Y",IF($Y92="Y","Completed","In Progress"),""))</f>
        <v/>
      </c>
      <c r="AC92" s="119">
        <f>IF($B92="","",IF(COUNTIFS('Approved Absences'!$A$2:$A$200,$B92,'Approved Absences'!$B$2:$B$200,"&lt;="&amp;INT('Control Center'!$B$3),'Approved Absences'!$C$2:$C$200,"&gt;="&amp;INT('Control Center'!$B$3))&gt;0,"Y","N"))</f>
        <v/>
      </c>
      <c r="AD92" s="119">
        <f>IF($B92="","",IF(AND($G92="Y",$AC92&lt;&gt;"Y",ISERROR(SEARCH(TEXT('Control Center'!$B$3,"ddd"),TRIM($D92)))),"Y","N"))</f>
        <v/>
      </c>
      <c r="AE92" s="119">
        <f>IF(AND(AD92="Y",C92="3:45 AM",E92="N",K92&lt;&gt;"Y"),COUNTIFS($AD$2:AD92,"Y",$C$2:C92,"3:45 AM",$E$2:E92,"N",$K$2:K92,"&lt;&gt;Y"),"")</f>
        <v/>
      </c>
      <c r="AF92" s="119">
        <f>IF(AND(AD92="Y",C92="5:45 AM",E92="N",K92&lt;&gt;"Y"),COUNTIFS($AD$2:AD92,"Y",$C$2:C92,"5:45 AM",$E$2:E92,"N",$K$2:K92,"&lt;&gt;Y"),"")</f>
        <v/>
      </c>
      <c r="AG92" s="119">
        <f>IF(AND(AD92="Y",C92="3:45 AM",E92="N",L92="Y",K92&lt;&gt;"Y"),COUNTIFS($AD$2:AD92,"Y",$C$2:C92,"3:45 AM",$E$2:E92,"N",$L$2:L92,"Y",$K$2:K92,"&lt;&gt;Y"),"")</f>
        <v/>
      </c>
      <c r="AH92" s="119">
        <f>IF(AND(AD92="Y",C92="5:45 AM",E92="N",L92="Y",K92&lt;&gt;"Y"),COUNTIFS($AD$2:AD92,"Y",$C$2:C92,"5:45 AM",$E$2:E92,"N",$L$2:L92,"Y",$K$2:K92,"&lt;&gt;Y"),"")</f>
        <v/>
      </c>
      <c r="AI92" s="119">
        <f>IF(AND(AD92="Y",E92="N",K92="Y",OR(C92="3:45 AM",C92="5:45 AM")),SUMPRODUCT(($AD$2:AD92="Y")*($E$2:E92="N")*($K$2:K92="Y")*(($C$2:C92="3:45 AM")+($C$2:C92="5:45 AM"))), "")</f>
        <v/>
      </c>
      <c r="AJ92" s="119">
        <f>IF(AND(AD92="Y",C92="3:45 AM",E92="N",J92="Y"),COUNTIFS($AD$2:AD92,"Y",$C$2:C92,"3:45 AM",$E$2:E92,"N",$J$2:J92,"Y"),"")</f>
        <v/>
      </c>
      <c r="AK92" s="119">
        <f>IF(AND(AD92="Y",E92="N",I92="Y",OR(C92="3:45 AM",C92="5:45 AM")),SUMPRODUCT(($AD$2:AD92="Y")*($E$2:E92="N")*($I$2:I92="Y")*(($C$2:C92="3:45 AM")+($C$2:C92="5:45 AM"))), "")</f>
        <v/>
      </c>
      <c r="AL92" s="119">
        <f>IF(AND(AD92="Y",C92="12:15 PM",E92="N",K92&lt;&gt;"Y"),COUNTIFS($AD$2:AD92,"Y",$C$2:C92,"12:15 PM",$E$2:E92,"N",$K$2:K92,"&lt;&gt;Y"),"")</f>
        <v/>
      </c>
      <c r="AM92" s="119">
        <f>IF(AND(AD92="Y",C92="2:00 PM",E92="N",K92&lt;&gt;"Y"),COUNTIFS($AD$2:AD92,"Y",$C$2:C92,"2:00 PM",$E$2:E92,"N",$K$2:K92,"&lt;&gt;Y"),"")</f>
        <v/>
      </c>
      <c r="AN92" s="119">
        <f>IF(AND(AD92="Y",E92="N",K92="Y",OR(C92="12:15 PM",C92="2:00 PM")),SUMPRODUCT(($AD$2:AD92="Y")*($E$2:E92="N")*($K$2:K92="Y")*(($C$2:C92="12:15 PM")+($C$2:C92="2:00 PM"))), "")</f>
        <v/>
      </c>
      <c r="AO92" s="119">
        <f>IF(AND(AD92="Y",C92="12:15 PM",E92="N",L92="Y"),COUNTIFS($AD$2:AD92,"Y",$C$2:C92,"12:15 PM",$E$2:E92,"N",$L$2:L92,"Y"),"")</f>
        <v/>
      </c>
      <c r="AP92" s="119">
        <f>IF(AND(AD92="Y",C92="2:00 PM",E92="N",L92="Y"),COUNTIFS($AD$2:AD92,"Y",$C$2:C92,"2:00 PM",$E$2:E92,"N",$L$2:L92,"Y"),"")</f>
        <v/>
      </c>
    </row>
    <row r="93" ht="14.25" customHeight="1" s="120">
      <c r="A93" s="231" t="inlineStr">
        <is>
          <t>EMP-0096</t>
        </is>
      </c>
      <c r="B93" s="232" t="inlineStr">
        <is>
          <t>Lynn Yi-Smith</t>
        </is>
      </c>
      <c r="C93" s="232" t="inlineStr">
        <is>
          <t>5:45 AM</t>
        </is>
      </c>
      <c r="D93" s="232" t="inlineStr">
        <is>
          <t>Tue, Wed, Thu, Fri</t>
        </is>
      </c>
      <c r="E93" s="232" t="inlineStr">
        <is>
          <t>N</t>
        </is>
      </c>
      <c r="F93" s="232" t="inlineStr">
        <is>
          <t>N</t>
        </is>
      </c>
      <c r="G93" s="232" t="inlineStr">
        <is>
          <t>Y</t>
        </is>
      </c>
      <c r="H93" s="232" t="inlineStr">
        <is>
          <t>None</t>
        </is>
      </c>
      <c r="I93" s="232" t="inlineStr">
        <is>
          <t>N</t>
        </is>
      </c>
      <c r="J93" s="232" t="inlineStr">
        <is>
          <t>N</t>
        </is>
      </c>
      <c r="K93" s="232" t="inlineStr">
        <is>
          <t>N</t>
        </is>
      </c>
      <c r="L93" s="232" t="inlineStr">
        <is>
          <t>Y</t>
        </is>
      </c>
      <c r="M93" s="232" t="inlineStr">
        <is>
          <t>Fixed by Snapshot</t>
        </is>
      </c>
      <c r="N93" s="232" t="n"/>
      <c r="O93" s="232" t="n"/>
      <c r="P93" s="232" t="inlineStr">
        <is>
          <t>N</t>
        </is>
      </c>
      <c r="Q93" s="232" t="n"/>
      <c r="R93" s="232" t="inlineStr">
        <is>
          <t>17 | Checkpoint – Front Entrance</t>
        </is>
      </c>
      <c r="S93" s="232" t="inlineStr">
        <is>
          <t>39 | T Bridge Landing</t>
        </is>
      </c>
      <c r="T93" s="233" t="inlineStr">
        <is>
          <t>N</t>
        </is>
      </c>
      <c r="U93" s="227">
        <f>IF($B93="","",IF(AND($G93="Y",ISERROR(SEARCH(TEXT('Control Center'!$B$3,"ddd"),TRIM($D93)))),"Y","N"))</f>
        <v/>
      </c>
      <c r="V93" s="227">
        <f>IF($B93="","",IF(AND($U93="Y",OR($C93="3:45 AM",$C93="5:45 AM"),OR('Control Center'!$B$4="N",$K93&lt;&gt;"Y")),"Y","N"))</f>
        <v/>
      </c>
      <c r="W93" s="227">
        <f>IF($B93="","",IF(AND($U93="Y",OR($C93="12:15 PM",$C93="2:00 PM"),OR('Control Center'!$B$5="N",$K93&lt;&gt;"Y")),"Y","N"))</f>
        <v/>
      </c>
      <c r="X93" s="228" t="n"/>
      <c r="Y93" s="229" t="n"/>
      <c r="Z93" s="228" t="n"/>
      <c r="AA93" s="229" t="n"/>
      <c r="AB93" s="230">
        <f>IF($B93="","",IF($P93="Y",IF($Y93="Y","Completed","In Progress"),""))</f>
        <v/>
      </c>
      <c r="AC93" s="119">
        <f>IF($B93="","",IF(COUNTIFS('Approved Absences'!$A$2:$A$200,$B93,'Approved Absences'!$B$2:$B$200,"&lt;="&amp;INT('Control Center'!$B$3),'Approved Absences'!$C$2:$C$200,"&gt;="&amp;INT('Control Center'!$B$3))&gt;0,"Y","N"))</f>
        <v/>
      </c>
      <c r="AD93" s="119">
        <f>IF($B93="","",IF(AND($G93="Y",$AC93&lt;&gt;"Y",ISERROR(SEARCH(TEXT('Control Center'!$B$3,"ddd"),TRIM($D93)))),"Y","N"))</f>
        <v/>
      </c>
      <c r="AE93" s="119">
        <f>IF(AND(AD93="Y",C93="3:45 AM",E93="N",K93&lt;&gt;"Y"),COUNTIFS($AD$2:AD93,"Y",$C$2:C93,"3:45 AM",$E$2:E93,"N",$K$2:K93,"&lt;&gt;Y"),"")</f>
        <v/>
      </c>
      <c r="AF93" s="119">
        <f>IF(AND(AD93="Y",C93="5:45 AM",E93="N",K93&lt;&gt;"Y"),COUNTIFS($AD$2:AD93,"Y",$C$2:C93,"5:45 AM",$E$2:E93,"N",$K$2:K93,"&lt;&gt;Y"),"")</f>
        <v/>
      </c>
      <c r="AG93" s="119">
        <f>IF(AND(AD93="Y",C93="3:45 AM",E93="N",L93="Y",K93&lt;&gt;"Y"),COUNTIFS($AD$2:AD93,"Y",$C$2:C93,"3:45 AM",$E$2:E93,"N",$L$2:L93,"Y",$K$2:K93,"&lt;&gt;Y"),"")</f>
        <v/>
      </c>
      <c r="AH93" s="119">
        <f>IF(AND(AD93="Y",C93="5:45 AM",E93="N",L93="Y",K93&lt;&gt;"Y"),COUNTIFS($AD$2:AD93,"Y",$C$2:C93,"5:45 AM",$E$2:E93,"N",$L$2:L93,"Y",$K$2:K93,"&lt;&gt;Y"),"")</f>
        <v/>
      </c>
      <c r="AI93" s="119">
        <f>IF(AND(AD93="Y",E93="N",K93="Y",OR(C93="3:45 AM",C93="5:45 AM")),SUMPRODUCT(($AD$2:AD93="Y")*($E$2:E93="N")*($K$2:K93="Y")*(($C$2:C93="3:45 AM")+($C$2:C93="5:45 AM"))), "")</f>
        <v/>
      </c>
      <c r="AJ93" s="119">
        <f>IF(AND(AD93="Y",C93="3:45 AM",E93="N",J93="Y"),COUNTIFS($AD$2:AD93,"Y",$C$2:C93,"3:45 AM",$E$2:E93,"N",$J$2:J93,"Y"),"")</f>
        <v/>
      </c>
      <c r="AK93" s="119">
        <f>IF(AND(AD93="Y",E93="N",I93="Y",OR(C93="3:45 AM",C93="5:45 AM")),SUMPRODUCT(($AD$2:AD93="Y")*($E$2:E93="N")*($I$2:I93="Y")*(($C$2:C93="3:45 AM")+($C$2:C93="5:45 AM"))), "")</f>
        <v/>
      </c>
      <c r="AL93" s="119">
        <f>IF(AND(AD93="Y",C93="12:15 PM",E93="N",K93&lt;&gt;"Y"),COUNTIFS($AD$2:AD93,"Y",$C$2:C93,"12:15 PM",$E$2:E93,"N",$K$2:K93,"&lt;&gt;Y"),"")</f>
        <v/>
      </c>
      <c r="AM93" s="119">
        <f>IF(AND(AD93="Y",C93="2:00 PM",E93="N",K93&lt;&gt;"Y"),COUNTIFS($AD$2:AD93,"Y",$C$2:C93,"2:00 PM",$E$2:E93,"N",$K$2:K93,"&lt;&gt;Y"),"")</f>
        <v/>
      </c>
      <c r="AN93" s="119">
        <f>IF(AND(AD93="Y",E93="N",K93="Y",OR(C93="12:15 PM",C93="2:00 PM")),SUMPRODUCT(($AD$2:AD93="Y")*($E$2:E93="N")*($K$2:K93="Y")*(($C$2:C93="12:15 PM")+($C$2:C93="2:00 PM"))), "")</f>
        <v/>
      </c>
      <c r="AO93" s="119">
        <f>IF(AND(AD93="Y",C93="12:15 PM",E93="N",L93="Y"),COUNTIFS($AD$2:AD93,"Y",$C$2:C93,"12:15 PM",$E$2:E93,"N",$L$2:L93,"Y"),"")</f>
        <v/>
      </c>
      <c r="AP93" s="119">
        <f>IF(AND(AD93="Y",C93="2:00 PM",E93="N",L93="Y"),COUNTIFS($AD$2:AD93,"Y",$C$2:C93,"2:00 PM",$E$2:E93,"N",$L$2:L93,"Y"),"")</f>
        <v/>
      </c>
    </row>
    <row r="94" ht="14.25" customHeight="1" s="120">
      <c r="A94" s="231" t="inlineStr">
        <is>
          <t>EMP-0097</t>
        </is>
      </c>
      <c r="B94" s="232" t="inlineStr">
        <is>
          <t>Maglorie Jean</t>
        </is>
      </c>
      <c r="C94" s="232" t="inlineStr">
        <is>
          <t>12:15 PM</t>
        </is>
      </c>
      <c r="D94" s="232" t="inlineStr">
        <is>
          <t>Sun, Mon</t>
        </is>
      </c>
      <c r="E94" s="232" t="inlineStr">
        <is>
          <t>N</t>
        </is>
      </c>
      <c r="F94" s="232" t="inlineStr">
        <is>
          <t>N</t>
        </is>
      </c>
      <c r="G94" s="232" t="inlineStr">
        <is>
          <t>Y</t>
        </is>
      </c>
      <c r="H94" s="232" t="inlineStr">
        <is>
          <t>5:00 PM</t>
        </is>
      </c>
      <c r="I94" s="232" t="inlineStr">
        <is>
          <t>Y</t>
        </is>
      </c>
      <c r="J94" s="232" t="inlineStr">
        <is>
          <t>Y</t>
        </is>
      </c>
      <c r="K94" s="232" t="inlineStr">
        <is>
          <t>N</t>
        </is>
      </c>
      <c r="L94" s="232" t="inlineStr">
        <is>
          <t>N</t>
        </is>
      </c>
      <c r="M94" s="232" t="inlineStr">
        <is>
          <t>Standard</t>
        </is>
      </c>
      <c r="N94" s="232" t="n"/>
      <c r="O94" s="232" t="n"/>
      <c r="P94" s="232" t="inlineStr">
        <is>
          <t>N</t>
        </is>
      </c>
      <c r="Q94" s="232" t="n"/>
      <c r="R94" s="232" t="n"/>
      <c r="S94" s="232" t="n"/>
      <c r="T94" s="233" t="inlineStr">
        <is>
          <t>N</t>
        </is>
      </c>
      <c r="U94" s="227">
        <f>IF($B94="","",IF(AND($G94="Y",ISERROR(SEARCH(TEXT('Control Center'!$B$3,"ddd"),TRIM($D94)))),"Y","N"))</f>
        <v/>
      </c>
      <c r="V94" s="227">
        <f>IF($B94="","",IF(AND($U94="Y",OR($C94="3:45 AM",$C94="5:45 AM"),OR('Control Center'!$B$4="N",$K94&lt;&gt;"Y")),"Y","N"))</f>
        <v/>
      </c>
      <c r="W94" s="227">
        <f>IF($B94="","",IF(AND($U94="Y",OR($C94="12:15 PM",$C94="2:00 PM"),OR('Control Center'!$B$5="N",$K94&lt;&gt;"Y")),"Y","N"))</f>
        <v/>
      </c>
      <c r="X94" s="228" t="n"/>
      <c r="Y94" s="229" t="n"/>
      <c r="Z94" s="228" t="n"/>
      <c r="AA94" s="229" t="n"/>
      <c r="AB94" s="230">
        <f>IF($B94="","",IF($P94="Y",IF($Y94="Y","Completed","In Progress"),""))</f>
        <v/>
      </c>
      <c r="AC94" s="119">
        <f>IF($B94="","",IF(COUNTIFS('Approved Absences'!$A$2:$A$200,$B94,'Approved Absences'!$B$2:$B$200,"&lt;="&amp;INT('Control Center'!$B$3),'Approved Absences'!$C$2:$C$200,"&gt;="&amp;INT('Control Center'!$B$3))&gt;0,"Y","N"))</f>
        <v/>
      </c>
      <c r="AD94" s="119">
        <f>IF($B94="","",IF(AND($G94="Y",$AC94&lt;&gt;"Y",ISERROR(SEARCH(TEXT('Control Center'!$B$3,"ddd"),TRIM($D94)))),"Y","N"))</f>
        <v/>
      </c>
      <c r="AE94" s="119">
        <f>IF(AND(AD94="Y",C94="3:45 AM",E94="N",K94&lt;&gt;"Y"),COUNTIFS($AD$2:AD94,"Y",$C$2:C94,"3:45 AM",$E$2:E94,"N",$K$2:K94,"&lt;&gt;Y"),"")</f>
        <v/>
      </c>
      <c r="AF94" s="119">
        <f>IF(AND(AD94="Y",C94="5:45 AM",E94="N",K94&lt;&gt;"Y"),COUNTIFS($AD$2:AD94,"Y",$C$2:C94,"5:45 AM",$E$2:E94,"N",$K$2:K94,"&lt;&gt;Y"),"")</f>
        <v/>
      </c>
      <c r="AG94" s="119">
        <f>IF(AND(AD94="Y",C94="3:45 AM",E94="N",L94="Y",K94&lt;&gt;"Y"),COUNTIFS($AD$2:AD94,"Y",$C$2:C94,"3:45 AM",$E$2:E94,"N",$L$2:L94,"Y",$K$2:K94,"&lt;&gt;Y"),"")</f>
        <v/>
      </c>
      <c r="AH94" s="119">
        <f>IF(AND(AD94="Y",C94="5:45 AM",E94="N",L94="Y",K94&lt;&gt;"Y"),COUNTIFS($AD$2:AD94,"Y",$C$2:C94,"5:45 AM",$E$2:E94,"N",$L$2:L94,"Y",$K$2:K94,"&lt;&gt;Y"),"")</f>
        <v/>
      </c>
      <c r="AI94" s="119">
        <f>IF(AND(AD94="Y",E94="N",K94="Y",OR(C94="3:45 AM",C94="5:45 AM")),SUMPRODUCT(($AD$2:AD94="Y")*($E$2:E94="N")*($K$2:K94="Y")*(($C$2:C94="3:45 AM")+($C$2:C94="5:45 AM"))), "")</f>
        <v/>
      </c>
      <c r="AJ94" s="119">
        <f>IF(AND(AD94="Y",C94="3:45 AM",E94="N",J94="Y"),COUNTIFS($AD$2:AD94,"Y",$C$2:C94,"3:45 AM",$E$2:E94,"N",$J$2:J94,"Y"),"")</f>
        <v/>
      </c>
      <c r="AK94" s="119">
        <f>IF(AND(AD94="Y",E94="N",I94="Y",OR(C94="3:45 AM",C94="5:45 AM")),SUMPRODUCT(($AD$2:AD94="Y")*($E$2:E94="N")*($I$2:I94="Y")*(($C$2:C94="3:45 AM")+($C$2:C94="5:45 AM"))), "")</f>
        <v/>
      </c>
      <c r="AL94" s="119">
        <f>IF(AND(AD94="Y",C94="12:15 PM",E94="N",K94&lt;&gt;"Y"),COUNTIFS($AD$2:AD94,"Y",$C$2:C94,"12:15 PM",$E$2:E94,"N",$K$2:K94,"&lt;&gt;Y"),"")</f>
        <v/>
      </c>
      <c r="AM94" s="119">
        <f>IF(AND(AD94="Y",C94="2:00 PM",E94="N",K94&lt;&gt;"Y"),COUNTIFS($AD$2:AD94,"Y",$C$2:C94,"2:00 PM",$E$2:E94,"N",$K$2:K94,"&lt;&gt;Y"),"")</f>
        <v/>
      </c>
      <c r="AN94" s="119">
        <f>IF(AND(AD94="Y",E94="N",K94="Y",OR(C94="12:15 PM",C94="2:00 PM")),SUMPRODUCT(($AD$2:AD94="Y")*($E$2:E94="N")*($K$2:K94="Y")*(($C$2:C94="12:15 PM")+($C$2:C94="2:00 PM"))), "")</f>
        <v/>
      </c>
      <c r="AO94" s="119">
        <f>IF(AND(AD94="Y",C94="12:15 PM",E94="N",L94="Y"),COUNTIFS($AD$2:AD94,"Y",$C$2:C94,"12:15 PM",$E$2:E94,"N",$L$2:L94,"Y"),"")</f>
        <v/>
      </c>
      <c r="AP94" s="119">
        <f>IF(AND(AD94="Y",C94="2:00 PM",E94="N",L94="Y"),COUNTIFS($AD$2:AD94,"Y",$C$2:C94,"2:00 PM",$E$2:E94,"N",$L$2:L94,"Y"),"")</f>
        <v/>
      </c>
    </row>
    <row r="95" ht="14.25" customHeight="1" s="120">
      <c r="A95" s="231" t="inlineStr">
        <is>
          <t>EMP-0098</t>
        </is>
      </c>
      <c r="B95" s="232" t="inlineStr">
        <is>
          <t>Mamadou Seck</t>
        </is>
      </c>
      <c r="C95" s="232" t="inlineStr">
        <is>
          <t>5:45 AM</t>
        </is>
      </c>
      <c r="D95" s="232" t="inlineStr">
        <is>
          <t>Thu, Fri</t>
        </is>
      </c>
      <c r="E95" s="232" t="inlineStr">
        <is>
          <t>N</t>
        </is>
      </c>
      <c r="F95" s="232" t="inlineStr">
        <is>
          <t>N</t>
        </is>
      </c>
      <c r="G95" s="232" t="inlineStr">
        <is>
          <t>Y</t>
        </is>
      </c>
      <c r="H95" s="232" t="inlineStr">
        <is>
          <t>None</t>
        </is>
      </c>
      <c r="I95" s="232" t="inlineStr">
        <is>
          <t>N</t>
        </is>
      </c>
      <c r="J95" s="232" t="inlineStr">
        <is>
          <t>N</t>
        </is>
      </c>
      <c r="K95" s="232" t="inlineStr">
        <is>
          <t>N</t>
        </is>
      </c>
      <c r="L95" s="232" t="inlineStr">
        <is>
          <t>Y</t>
        </is>
      </c>
      <c r="M95" s="232" t="inlineStr">
        <is>
          <t>Standard</t>
        </is>
      </c>
      <c r="N95" s="232" t="n"/>
      <c r="O95" s="232" t="n"/>
      <c r="P95" s="232" t="inlineStr">
        <is>
          <t>N</t>
        </is>
      </c>
      <c r="Q95" s="232" t="n"/>
      <c r="R95" s="232" t="n"/>
      <c r="S95" s="232" t="n"/>
      <c r="T95" s="233" t="inlineStr">
        <is>
          <t>N</t>
        </is>
      </c>
      <c r="U95" s="227">
        <f>IF($B95="","",IF(AND($G95="Y",ISERROR(SEARCH(TEXT('Control Center'!$B$3,"ddd"),TRIM($D95)))),"Y","N"))</f>
        <v/>
      </c>
      <c r="V95" s="227">
        <f>IF($B95="","",IF(AND($U95="Y",OR($C95="3:45 AM",$C95="5:45 AM"),OR('Control Center'!$B$4="N",$K95&lt;&gt;"Y")),"Y","N"))</f>
        <v/>
      </c>
      <c r="W95" s="227">
        <f>IF($B95="","",IF(AND($U95="Y",OR($C95="12:15 PM",$C95="2:00 PM"),OR('Control Center'!$B$5="N",$K95&lt;&gt;"Y")),"Y","N"))</f>
        <v/>
      </c>
      <c r="X95" s="228" t="n"/>
      <c r="Y95" s="229" t="n"/>
      <c r="Z95" s="228" t="n"/>
      <c r="AA95" s="229" t="n"/>
      <c r="AB95" s="230">
        <f>IF($B95="","",IF($P95="Y",IF($Y95="Y","Completed","In Progress"),""))</f>
        <v/>
      </c>
      <c r="AC95" s="119">
        <f>IF($B95="","",IF(COUNTIFS('Approved Absences'!$A$2:$A$200,$B95,'Approved Absences'!$B$2:$B$200,"&lt;="&amp;INT('Control Center'!$B$3),'Approved Absences'!$C$2:$C$200,"&gt;="&amp;INT('Control Center'!$B$3))&gt;0,"Y","N"))</f>
        <v/>
      </c>
      <c r="AD95" s="119">
        <f>IF($B95="","",IF(AND($G95="Y",$AC95&lt;&gt;"Y",ISERROR(SEARCH(TEXT('Control Center'!$B$3,"ddd"),TRIM($D95)))),"Y","N"))</f>
        <v/>
      </c>
      <c r="AE95" s="119">
        <f>IF(AND(AD95="Y",C95="3:45 AM",E95="N",K95&lt;&gt;"Y"),COUNTIFS($AD$2:AD95,"Y",$C$2:C95,"3:45 AM",$E$2:E95,"N",$K$2:K95,"&lt;&gt;Y"),"")</f>
        <v/>
      </c>
      <c r="AF95" s="119">
        <f>IF(AND(AD95="Y",C95="5:45 AM",E95="N",K95&lt;&gt;"Y"),COUNTIFS($AD$2:AD95,"Y",$C$2:C95,"5:45 AM",$E$2:E95,"N",$K$2:K95,"&lt;&gt;Y"),"")</f>
        <v/>
      </c>
      <c r="AG95" s="119">
        <f>IF(AND(AD95="Y",C95="3:45 AM",E95="N",L95="Y",K95&lt;&gt;"Y"),COUNTIFS($AD$2:AD95,"Y",$C$2:C95,"3:45 AM",$E$2:E95,"N",$L$2:L95,"Y",$K$2:K95,"&lt;&gt;Y"),"")</f>
        <v/>
      </c>
      <c r="AH95" s="119">
        <f>IF(AND(AD95="Y",C95="5:45 AM",E95="N",L95="Y",K95&lt;&gt;"Y"),COUNTIFS($AD$2:AD95,"Y",$C$2:C95,"5:45 AM",$E$2:E95,"N",$L$2:L95,"Y",$K$2:K95,"&lt;&gt;Y"),"")</f>
        <v/>
      </c>
      <c r="AI95" s="119">
        <f>IF(AND(AD95="Y",E95="N",K95="Y",OR(C95="3:45 AM",C95="5:45 AM")),SUMPRODUCT(($AD$2:AD95="Y")*($E$2:E95="N")*($K$2:K95="Y")*(($C$2:C95="3:45 AM")+($C$2:C95="5:45 AM"))), "")</f>
        <v/>
      </c>
      <c r="AJ95" s="119">
        <f>IF(AND(AD95="Y",C95="3:45 AM",E95="N",J95="Y"),COUNTIFS($AD$2:AD95,"Y",$C$2:C95,"3:45 AM",$E$2:E95,"N",$J$2:J95,"Y"),"")</f>
        <v/>
      </c>
      <c r="AK95" s="119">
        <f>IF(AND(AD95="Y",E95="N",I95="Y",OR(C95="3:45 AM",C95="5:45 AM")),SUMPRODUCT(($AD$2:AD95="Y")*($E$2:E95="N")*($I$2:I95="Y")*(($C$2:C95="3:45 AM")+($C$2:C95="5:45 AM"))), "")</f>
        <v/>
      </c>
      <c r="AL95" s="119">
        <f>IF(AND(AD95="Y",C95="12:15 PM",E95="N",K95&lt;&gt;"Y"),COUNTIFS($AD$2:AD95,"Y",$C$2:C95,"12:15 PM",$E$2:E95,"N",$K$2:K95,"&lt;&gt;Y"),"")</f>
        <v/>
      </c>
      <c r="AM95" s="119">
        <f>IF(AND(AD95="Y",C95="2:00 PM",E95="N",K95&lt;&gt;"Y"),COUNTIFS($AD$2:AD95,"Y",$C$2:C95,"2:00 PM",$E$2:E95,"N",$K$2:K95,"&lt;&gt;Y"),"")</f>
        <v/>
      </c>
      <c r="AN95" s="119">
        <f>IF(AND(AD95="Y",E95="N",K95="Y",OR(C95="12:15 PM",C95="2:00 PM")),SUMPRODUCT(($AD$2:AD95="Y")*($E$2:E95="N")*($K$2:K95="Y")*(($C$2:C95="12:15 PM")+($C$2:C95="2:00 PM"))), "")</f>
        <v/>
      </c>
      <c r="AO95" s="119">
        <f>IF(AND(AD95="Y",C95="12:15 PM",E95="N",L95="Y"),COUNTIFS($AD$2:AD95,"Y",$C$2:C95,"12:15 PM",$E$2:E95,"N",$L$2:L95,"Y"),"")</f>
        <v/>
      </c>
      <c r="AP95" s="119">
        <f>IF(AND(AD95="Y",C95="2:00 PM",E95="N",L95="Y"),COUNTIFS($AD$2:AD95,"Y",$C$2:C95,"2:00 PM",$E$2:E95,"N",$L$2:L95,"Y"),"")</f>
        <v/>
      </c>
    </row>
    <row r="96" ht="14.25" customHeight="1" s="120">
      <c r="A96" s="231" t="inlineStr">
        <is>
          <t>EMP-0099</t>
        </is>
      </c>
      <c r="B96" s="232" t="inlineStr">
        <is>
          <t>Mariana Garduno</t>
        </is>
      </c>
      <c r="C96" s="232" t="inlineStr">
        <is>
          <t>5:45 AM</t>
        </is>
      </c>
      <c r="D96" s="232" t="inlineStr">
        <is>
          <t>Sun, Mon</t>
        </is>
      </c>
      <c r="E96" s="232" t="inlineStr">
        <is>
          <t>Y</t>
        </is>
      </c>
      <c r="F96" s="232" t="inlineStr">
        <is>
          <t>N</t>
        </is>
      </c>
      <c r="G96" s="232" t="inlineStr">
        <is>
          <t>Y</t>
        </is>
      </c>
      <c r="H96" s="232" t="inlineStr">
        <is>
          <t>None</t>
        </is>
      </c>
      <c r="I96" s="232" t="inlineStr">
        <is>
          <t>N</t>
        </is>
      </c>
      <c r="J96" s="232" t="inlineStr">
        <is>
          <t>Y</t>
        </is>
      </c>
      <c r="K96" s="232" t="inlineStr">
        <is>
          <t>N</t>
        </is>
      </c>
      <c r="L96" s="232" t="inlineStr">
        <is>
          <t>Y</t>
        </is>
      </c>
      <c r="M96" s="232" t="inlineStr">
        <is>
          <t>Standard</t>
        </is>
      </c>
      <c r="N96" s="232" t="n"/>
      <c r="O96" s="232" t="n"/>
      <c r="P96" s="232" t="inlineStr">
        <is>
          <t>N</t>
        </is>
      </c>
      <c r="Q96" s="232" t="n"/>
      <c r="R96" s="232" t="n"/>
      <c r="S96" s="232" t="n"/>
      <c r="T96" s="233" t="inlineStr">
        <is>
          <t>N</t>
        </is>
      </c>
      <c r="U96" s="227">
        <f>IF($B96="","",IF(AND($G96="Y",ISERROR(SEARCH(TEXT('Control Center'!$B$3,"ddd"),TRIM($D96)))),"Y","N"))</f>
        <v/>
      </c>
      <c r="V96" s="227">
        <f>IF($B96="","",IF(AND($U96="Y",OR($C96="3:45 AM",$C96="5:45 AM"),OR('Control Center'!$B$4="N",$K96&lt;&gt;"Y")),"Y","N"))</f>
        <v/>
      </c>
      <c r="W96" s="227">
        <f>IF($B96="","",IF(AND($U96="Y",OR($C96="12:15 PM",$C96="2:00 PM"),OR('Control Center'!$B$5="N",$K96&lt;&gt;"Y")),"Y","N"))</f>
        <v/>
      </c>
      <c r="X96" s="228" t="n"/>
      <c r="Y96" s="229" t="n"/>
      <c r="Z96" s="228" t="n"/>
      <c r="AA96" s="229" t="n"/>
      <c r="AB96" s="230">
        <f>IF($B96="","",IF($P96="Y",IF($Y96="Y","Completed","In Progress"),""))</f>
        <v/>
      </c>
      <c r="AC96" s="119">
        <f>IF($B96="","",IF(COUNTIFS('Approved Absences'!$A$2:$A$200,$B96,'Approved Absences'!$B$2:$B$200,"&lt;="&amp;INT('Control Center'!$B$3),'Approved Absences'!$C$2:$C$200,"&gt;="&amp;INT('Control Center'!$B$3))&gt;0,"Y","N"))</f>
        <v/>
      </c>
      <c r="AD96" s="119">
        <f>IF($B96="","",IF(AND($G96="Y",$AC96&lt;&gt;"Y",ISERROR(SEARCH(TEXT('Control Center'!$B$3,"ddd"),TRIM($D96)))),"Y","N"))</f>
        <v/>
      </c>
      <c r="AE96" s="119">
        <f>IF(AND(AD96="Y",C96="3:45 AM",E96="N",K96&lt;&gt;"Y"),COUNTIFS($AD$2:AD96,"Y",$C$2:C96,"3:45 AM",$E$2:E96,"N",$K$2:K96,"&lt;&gt;Y"),"")</f>
        <v/>
      </c>
      <c r="AF96" s="119">
        <f>IF(AND(AD96="Y",C96="5:45 AM",E96="N",K96&lt;&gt;"Y"),COUNTIFS($AD$2:AD96,"Y",$C$2:C96,"5:45 AM",$E$2:E96,"N",$K$2:K96,"&lt;&gt;Y"),"")</f>
        <v/>
      </c>
      <c r="AG96" s="119">
        <f>IF(AND(AD96="Y",C96="3:45 AM",E96="N",L96="Y",K96&lt;&gt;"Y"),COUNTIFS($AD$2:AD96,"Y",$C$2:C96,"3:45 AM",$E$2:E96,"N",$L$2:L96,"Y",$K$2:K96,"&lt;&gt;Y"),"")</f>
        <v/>
      </c>
      <c r="AH96" s="119">
        <f>IF(AND(AD96="Y",C96="5:45 AM",E96="N",L96="Y",K96&lt;&gt;"Y"),COUNTIFS($AD$2:AD96,"Y",$C$2:C96,"5:45 AM",$E$2:E96,"N",$L$2:L96,"Y",$K$2:K96,"&lt;&gt;Y"),"")</f>
        <v/>
      </c>
      <c r="AI96" s="119">
        <f>IF(AND(AD96="Y",E96="N",K96="Y",OR(C96="3:45 AM",C96="5:45 AM")),SUMPRODUCT(($AD$2:AD96="Y")*($E$2:E96="N")*($K$2:K96="Y")*(($C$2:C96="3:45 AM")+($C$2:C96="5:45 AM"))), "")</f>
        <v/>
      </c>
      <c r="AJ96" s="119">
        <f>IF(AND(AD96="Y",C96="3:45 AM",E96="N",J96="Y"),COUNTIFS($AD$2:AD96,"Y",$C$2:C96,"3:45 AM",$E$2:E96,"N",$J$2:J96,"Y"),"")</f>
        <v/>
      </c>
      <c r="AK96" s="119">
        <f>IF(AND(AD96="Y",E96="N",I96="Y",OR(C96="3:45 AM",C96="5:45 AM")),SUMPRODUCT(($AD$2:AD96="Y")*($E$2:E96="N")*($I$2:I96="Y")*(($C$2:C96="3:45 AM")+($C$2:C96="5:45 AM"))), "")</f>
        <v/>
      </c>
      <c r="AL96" s="119">
        <f>IF(AND(AD96="Y",C96="12:15 PM",E96="N",K96&lt;&gt;"Y"),COUNTIFS($AD$2:AD96,"Y",$C$2:C96,"12:15 PM",$E$2:E96,"N",$K$2:K96,"&lt;&gt;Y"),"")</f>
        <v/>
      </c>
      <c r="AM96" s="119">
        <f>IF(AND(AD96="Y",C96="2:00 PM",E96="N",K96&lt;&gt;"Y"),COUNTIFS($AD$2:AD96,"Y",$C$2:C96,"2:00 PM",$E$2:E96,"N",$K$2:K96,"&lt;&gt;Y"),"")</f>
        <v/>
      </c>
      <c r="AN96" s="119">
        <f>IF(AND(AD96="Y",E96="N",K96="Y",OR(C96="12:15 PM",C96="2:00 PM")),SUMPRODUCT(($AD$2:AD96="Y")*($E$2:E96="N")*($K$2:K96="Y")*(($C$2:C96="12:15 PM")+($C$2:C96="2:00 PM"))), "")</f>
        <v/>
      </c>
      <c r="AO96" s="119">
        <f>IF(AND(AD96="Y",C96="12:15 PM",E96="N",L96="Y"),COUNTIFS($AD$2:AD96,"Y",$C$2:C96,"12:15 PM",$E$2:E96,"N",$L$2:L96,"Y"),"")</f>
        <v/>
      </c>
      <c r="AP96" s="119">
        <f>IF(AND(AD96="Y",C96="2:00 PM",E96="N",L96="Y"),COUNTIFS($AD$2:AD96,"Y",$C$2:C96,"2:00 PM",$E$2:E96,"N",$L$2:L96,"Y"),"")</f>
        <v/>
      </c>
    </row>
    <row r="97" ht="14.25" customHeight="1" s="120">
      <c r="A97" s="231" t="inlineStr">
        <is>
          <t>EMP-0100</t>
        </is>
      </c>
      <c r="B97" s="232" t="inlineStr">
        <is>
          <t>Marquise Jackson</t>
        </is>
      </c>
      <c r="C97" s="232" t="inlineStr">
        <is>
          <t>5:45 AM</t>
        </is>
      </c>
      <c r="D97" s="232" t="inlineStr">
        <is>
          <t>Sat, Sun</t>
        </is>
      </c>
      <c r="E97" s="232" t="inlineStr">
        <is>
          <t>N</t>
        </is>
      </c>
      <c r="F97" s="232" t="inlineStr">
        <is>
          <t>N</t>
        </is>
      </c>
      <c r="G97" s="232" t="inlineStr">
        <is>
          <t>Y</t>
        </is>
      </c>
      <c r="H97" s="232" t="inlineStr">
        <is>
          <t>None</t>
        </is>
      </c>
      <c r="I97" s="232" t="inlineStr">
        <is>
          <t>N</t>
        </is>
      </c>
      <c r="J97" s="232" t="inlineStr">
        <is>
          <t>N</t>
        </is>
      </c>
      <c r="K97" s="232" t="inlineStr">
        <is>
          <t>N</t>
        </is>
      </c>
      <c r="L97" s="232" t="inlineStr">
        <is>
          <t>Y</t>
        </is>
      </c>
      <c r="M97" s="232" t="inlineStr">
        <is>
          <t>Standard</t>
        </is>
      </c>
      <c r="N97" s="232" t="n"/>
      <c r="O97" s="232" t="n"/>
      <c r="P97" s="232" t="inlineStr">
        <is>
          <t>N</t>
        </is>
      </c>
      <c r="Q97" s="232" t="n"/>
      <c r="R97" s="232" t="n"/>
      <c r="S97" s="232" t="n"/>
      <c r="T97" s="233" t="inlineStr">
        <is>
          <t>N</t>
        </is>
      </c>
      <c r="U97" s="227">
        <f>IF($B97="","",IF(AND($G97="Y",ISERROR(SEARCH(TEXT('Control Center'!$B$3,"ddd"),TRIM($D97)))),"Y","N"))</f>
        <v/>
      </c>
      <c r="V97" s="227">
        <f>IF($B97="","",IF(AND($U97="Y",OR($C97="3:45 AM",$C97="5:45 AM"),OR('Control Center'!$B$4="N",$K97&lt;&gt;"Y")),"Y","N"))</f>
        <v/>
      </c>
      <c r="W97" s="227">
        <f>IF($B97="","",IF(AND($U97="Y",OR($C97="12:15 PM",$C97="2:00 PM"),OR('Control Center'!$B$5="N",$K97&lt;&gt;"Y")),"Y","N"))</f>
        <v/>
      </c>
      <c r="X97" s="228" t="n"/>
      <c r="Y97" s="229" t="n"/>
      <c r="Z97" s="228" t="n"/>
      <c r="AA97" s="229" t="n"/>
      <c r="AB97" s="230">
        <f>IF($B97="","",IF($P97="Y",IF($Y97="Y","Completed","In Progress"),""))</f>
        <v/>
      </c>
      <c r="AC97" s="119">
        <f>IF($B97="","",IF(COUNTIFS('Approved Absences'!$A$2:$A$200,$B97,'Approved Absences'!$B$2:$B$200,"&lt;="&amp;INT('Control Center'!$B$3),'Approved Absences'!$C$2:$C$200,"&gt;="&amp;INT('Control Center'!$B$3))&gt;0,"Y","N"))</f>
        <v/>
      </c>
      <c r="AD97" s="119">
        <f>IF($B97="","",IF(AND($G97="Y",$AC97&lt;&gt;"Y",ISERROR(SEARCH(TEXT('Control Center'!$B$3,"ddd"),TRIM($D97)))),"Y","N"))</f>
        <v/>
      </c>
      <c r="AE97" s="119">
        <f>IF(AND(AD97="Y",C97="3:45 AM",E97="N",K97&lt;&gt;"Y"),COUNTIFS($AD$2:AD97,"Y",$C$2:C97,"3:45 AM",$E$2:E97,"N",$K$2:K97,"&lt;&gt;Y"),"")</f>
        <v/>
      </c>
      <c r="AF97" s="119">
        <f>IF(AND(AD97="Y",C97="5:45 AM",E97="N",K97&lt;&gt;"Y"),COUNTIFS($AD$2:AD97,"Y",$C$2:C97,"5:45 AM",$E$2:E97,"N",$K$2:K97,"&lt;&gt;Y"),"")</f>
        <v/>
      </c>
      <c r="AG97" s="119">
        <f>IF(AND(AD97="Y",C97="3:45 AM",E97="N",L97="Y",K97&lt;&gt;"Y"),COUNTIFS($AD$2:AD97,"Y",$C$2:C97,"3:45 AM",$E$2:E97,"N",$L$2:L97,"Y",$K$2:K97,"&lt;&gt;Y"),"")</f>
        <v/>
      </c>
      <c r="AH97" s="119">
        <f>IF(AND(AD97="Y",C97="5:45 AM",E97="N",L97="Y",K97&lt;&gt;"Y"),COUNTIFS($AD$2:AD97,"Y",$C$2:C97,"5:45 AM",$E$2:E97,"N",$L$2:L97,"Y",$K$2:K97,"&lt;&gt;Y"),"")</f>
        <v/>
      </c>
      <c r="AI97" s="119">
        <f>IF(AND(AD97="Y",E97="N",K97="Y",OR(C97="3:45 AM",C97="5:45 AM")),SUMPRODUCT(($AD$2:AD97="Y")*($E$2:E97="N")*($K$2:K97="Y")*(($C$2:C97="3:45 AM")+($C$2:C97="5:45 AM"))), "")</f>
        <v/>
      </c>
      <c r="AJ97" s="119">
        <f>IF(AND(AD97="Y",C97="3:45 AM",E97="N",J97="Y"),COUNTIFS($AD$2:AD97,"Y",$C$2:C97,"3:45 AM",$E$2:E97,"N",$J$2:J97,"Y"),"")</f>
        <v/>
      </c>
      <c r="AK97" s="119">
        <f>IF(AND(AD97="Y",E97="N",I97="Y",OR(C97="3:45 AM",C97="5:45 AM")),SUMPRODUCT(($AD$2:AD97="Y")*($E$2:E97="N")*($I$2:I97="Y")*(($C$2:C97="3:45 AM")+($C$2:C97="5:45 AM"))), "")</f>
        <v/>
      </c>
      <c r="AL97" s="119">
        <f>IF(AND(AD97="Y",C97="12:15 PM",E97="N",K97&lt;&gt;"Y"),COUNTIFS($AD$2:AD97,"Y",$C$2:C97,"12:15 PM",$E$2:E97,"N",$K$2:K97,"&lt;&gt;Y"),"")</f>
        <v/>
      </c>
      <c r="AM97" s="119">
        <f>IF(AND(AD97="Y",C97="2:00 PM",E97="N",K97&lt;&gt;"Y"),COUNTIFS($AD$2:AD97,"Y",$C$2:C97,"2:00 PM",$E$2:E97,"N",$K$2:K97,"&lt;&gt;Y"),"")</f>
        <v/>
      </c>
      <c r="AN97" s="119">
        <f>IF(AND(AD97="Y",E97="N",K97="Y",OR(C97="12:15 PM",C97="2:00 PM")),SUMPRODUCT(($AD$2:AD97="Y")*($E$2:E97="N")*($K$2:K97="Y")*(($C$2:C97="12:15 PM")+($C$2:C97="2:00 PM"))), "")</f>
        <v/>
      </c>
      <c r="AO97" s="119">
        <f>IF(AND(AD97="Y",C97="12:15 PM",E97="N",L97="Y"),COUNTIFS($AD$2:AD97,"Y",$C$2:C97,"12:15 PM",$E$2:E97,"N",$L$2:L97,"Y"),"")</f>
        <v/>
      </c>
      <c r="AP97" s="119">
        <f>IF(AND(AD97="Y",C97="2:00 PM",E97="N",L97="Y"),COUNTIFS($AD$2:AD97,"Y",$C$2:C97,"2:00 PM",$E$2:E97,"N",$L$2:L97,"Y"),"")</f>
        <v/>
      </c>
    </row>
    <row r="98" ht="14.25" customHeight="1" s="120">
      <c r="A98" s="231" t="inlineStr">
        <is>
          <t>EMP-0102</t>
        </is>
      </c>
      <c r="B98" s="232" t="inlineStr">
        <is>
          <t>Maryse Camille</t>
        </is>
      </c>
      <c r="C98" s="232" t="inlineStr">
        <is>
          <t>3:45 AM</t>
        </is>
      </c>
      <c r="D98" s="232" t="inlineStr">
        <is>
          <t>Fri, Sat</t>
        </is>
      </c>
      <c r="E98" s="232" t="inlineStr">
        <is>
          <t>N</t>
        </is>
      </c>
      <c r="F98" s="232" t="inlineStr">
        <is>
          <t>N</t>
        </is>
      </c>
      <c r="G98" s="232" t="inlineStr">
        <is>
          <t>Y</t>
        </is>
      </c>
      <c r="H98" s="232" t="inlineStr">
        <is>
          <t>None</t>
        </is>
      </c>
      <c r="I98" s="232" t="inlineStr">
        <is>
          <t>N</t>
        </is>
      </c>
      <c r="J98" s="232" t="inlineStr">
        <is>
          <t>N</t>
        </is>
      </c>
      <c r="K98" s="232" t="inlineStr">
        <is>
          <t>N</t>
        </is>
      </c>
      <c r="L98" s="232" t="inlineStr">
        <is>
          <t>Y</t>
        </is>
      </c>
      <c r="M98" s="232" t="inlineStr">
        <is>
          <t>Standard</t>
        </is>
      </c>
      <c r="N98" s="232" t="n"/>
      <c r="O98" s="232" t="n"/>
      <c r="P98" s="232" t="inlineStr">
        <is>
          <t>N</t>
        </is>
      </c>
      <c r="Q98" s="232" t="n"/>
      <c r="R98" s="232" t="n"/>
      <c r="S98" s="232" t="n"/>
      <c r="T98" s="233" t="inlineStr">
        <is>
          <t>N</t>
        </is>
      </c>
      <c r="U98" s="227">
        <f>IF($B98="","",IF(AND($G98="Y",ISERROR(SEARCH(TEXT('Control Center'!$B$3,"ddd"),TRIM($D98)))),"Y","N"))</f>
        <v/>
      </c>
      <c r="V98" s="227">
        <f>IF($B98="","",IF(AND($U98="Y",OR($C98="3:45 AM",$C98="5:45 AM"),OR('Control Center'!$B$4="N",$K98&lt;&gt;"Y")),"Y","N"))</f>
        <v/>
      </c>
      <c r="W98" s="227">
        <f>IF($B98="","",IF(AND($U98="Y",OR($C98="12:15 PM",$C98="2:00 PM"),OR('Control Center'!$B$5="N",$K98&lt;&gt;"Y")),"Y","N"))</f>
        <v/>
      </c>
      <c r="X98" s="228" t="n"/>
      <c r="Y98" s="229" t="n"/>
      <c r="Z98" s="228" t="n"/>
      <c r="AA98" s="229" t="n"/>
      <c r="AB98" s="230">
        <f>IF($B98="","",IF($P98="Y",IF($Y98="Y","Completed","In Progress"),""))</f>
        <v/>
      </c>
      <c r="AC98" s="119">
        <f>IF($B98="","",IF(COUNTIFS('Approved Absences'!$A$2:$A$200,$B98,'Approved Absences'!$B$2:$B$200,"&lt;="&amp;INT('Control Center'!$B$3),'Approved Absences'!$C$2:$C$200,"&gt;="&amp;INT('Control Center'!$B$3))&gt;0,"Y","N"))</f>
        <v/>
      </c>
      <c r="AD98" s="119">
        <f>IF($B98="","",IF(AND($G98="Y",$AC98&lt;&gt;"Y",ISERROR(SEARCH(TEXT('Control Center'!$B$3,"ddd"),TRIM($D98)))),"Y","N"))</f>
        <v/>
      </c>
      <c r="AE98" s="119">
        <f>IF(AND(AD98="Y",C98="3:45 AM",E98="N",K98&lt;&gt;"Y"),COUNTIFS($AD$2:AD98,"Y",$C$2:C98,"3:45 AM",$E$2:E98,"N",$K$2:K98,"&lt;&gt;Y"),"")</f>
        <v/>
      </c>
      <c r="AF98" s="119">
        <f>IF(AND(AD98="Y",C98="5:45 AM",E98="N",K98&lt;&gt;"Y"),COUNTIFS($AD$2:AD98,"Y",$C$2:C98,"5:45 AM",$E$2:E98,"N",$K$2:K98,"&lt;&gt;Y"),"")</f>
        <v/>
      </c>
      <c r="AG98" s="119">
        <f>IF(AND(AD98="Y",C98="3:45 AM",E98="N",L98="Y",K98&lt;&gt;"Y"),COUNTIFS($AD$2:AD98,"Y",$C$2:C98,"3:45 AM",$E$2:E98,"N",$L$2:L98,"Y",$K$2:K98,"&lt;&gt;Y"),"")</f>
        <v/>
      </c>
      <c r="AH98" s="119">
        <f>IF(AND(AD98="Y",C98="5:45 AM",E98="N",L98="Y",K98&lt;&gt;"Y"),COUNTIFS($AD$2:AD98,"Y",$C$2:C98,"5:45 AM",$E$2:E98,"N",$L$2:L98,"Y",$K$2:K98,"&lt;&gt;Y"),"")</f>
        <v/>
      </c>
      <c r="AI98" s="119">
        <f>IF(AND(AD98="Y",E98="N",K98="Y",OR(C98="3:45 AM",C98="5:45 AM")),SUMPRODUCT(($AD$2:AD98="Y")*($E$2:E98="N")*($K$2:K98="Y")*(($C$2:C98="3:45 AM")+($C$2:C98="5:45 AM"))), "")</f>
        <v/>
      </c>
      <c r="AJ98" s="119">
        <f>IF(AND(AD98="Y",C98="3:45 AM",E98="N",J98="Y"),COUNTIFS($AD$2:AD98,"Y",$C$2:C98,"3:45 AM",$E$2:E98,"N",$J$2:J98,"Y"),"")</f>
        <v/>
      </c>
      <c r="AK98" s="119">
        <f>IF(AND(AD98="Y",E98="N",I98="Y",OR(C98="3:45 AM",C98="5:45 AM")),SUMPRODUCT(($AD$2:AD98="Y")*($E$2:E98="N")*($I$2:I98="Y")*(($C$2:C98="3:45 AM")+($C$2:C98="5:45 AM"))), "")</f>
        <v/>
      </c>
      <c r="AL98" s="119">
        <f>IF(AND(AD98="Y",C98="12:15 PM",E98="N",K98&lt;&gt;"Y"),COUNTIFS($AD$2:AD98,"Y",$C$2:C98,"12:15 PM",$E$2:E98,"N",$K$2:K98,"&lt;&gt;Y"),"")</f>
        <v/>
      </c>
      <c r="AM98" s="119">
        <f>IF(AND(AD98="Y",C98="2:00 PM",E98="N",K98&lt;&gt;"Y"),COUNTIFS($AD$2:AD98,"Y",$C$2:C98,"2:00 PM",$E$2:E98,"N",$K$2:K98,"&lt;&gt;Y"),"")</f>
        <v/>
      </c>
      <c r="AN98" s="119">
        <f>IF(AND(AD98="Y",E98="N",K98="Y",OR(C98="12:15 PM",C98="2:00 PM")),SUMPRODUCT(($AD$2:AD98="Y")*($E$2:E98="N")*($K$2:K98="Y")*(($C$2:C98="12:15 PM")+($C$2:C98="2:00 PM"))), "")</f>
        <v/>
      </c>
      <c r="AO98" s="119">
        <f>IF(AND(AD98="Y",C98="12:15 PM",E98="N",L98="Y"),COUNTIFS($AD$2:AD98,"Y",$C$2:C98,"12:15 PM",$E$2:E98,"N",$L$2:L98,"Y"),"")</f>
        <v/>
      </c>
      <c r="AP98" s="119">
        <f>IF(AND(AD98="Y",C98="2:00 PM",E98="N",L98="Y"),COUNTIFS($AD$2:AD98,"Y",$C$2:C98,"2:00 PM",$E$2:E98,"N",$L$2:L98,"Y"),"")</f>
        <v/>
      </c>
    </row>
    <row r="99" ht="14.25" customHeight="1" s="120">
      <c r="A99" s="231" t="inlineStr">
        <is>
          <t>EMP-0103</t>
        </is>
      </c>
      <c r="B99" s="232" t="inlineStr">
        <is>
          <t>Micheal Manning</t>
        </is>
      </c>
      <c r="C99" s="232" t="inlineStr">
        <is>
          <t>5:45 AM</t>
        </is>
      </c>
      <c r="D99" s="232" t="inlineStr">
        <is>
          <t>Tue, Wed</t>
        </is>
      </c>
      <c r="E99" s="232" t="inlineStr">
        <is>
          <t>N</t>
        </is>
      </c>
      <c r="F99" s="232" t="inlineStr">
        <is>
          <t>N</t>
        </is>
      </c>
      <c r="G99" s="232" t="inlineStr">
        <is>
          <t>Y</t>
        </is>
      </c>
      <c r="H99" s="232" t="inlineStr">
        <is>
          <t>None</t>
        </is>
      </c>
      <c r="I99" s="232" t="inlineStr">
        <is>
          <t>N</t>
        </is>
      </c>
      <c r="J99" s="232" t="inlineStr">
        <is>
          <t>Y</t>
        </is>
      </c>
      <c r="K99" s="232" t="inlineStr">
        <is>
          <t>N</t>
        </is>
      </c>
      <c r="L99" s="232" t="inlineStr">
        <is>
          <t>Y</t>
        </is>
      </c>
      <c r="M99" s="232" t="inlineStr">
        <is>
          <t>Standard</t>
        </is>
      </c>
      <c r="N99" s="232" t="n"/>
      <c r="O99" s="232" t="n"/>
      <c r="P99" s="232" t="inlineStr">
        <is>
          <t>N</t>
        </is>
      </c>
      <c r="Q99" s="232" t="n"/>
      <c r="R99" s="232" t="n"/>
      <c r="S99" s="232" t="n"/>
      <c r="T99" s="233" t="inlineStr">
        <is>
          <t>N</t>
        </is>
      </c>
      <c r="U99" s="227">
        <f>IF($B99="","",IF(AND($G99="Y",ISERROR(SEARCH(TEXT('Control Center'!$B$3,"ddd"),TRIM($D99)))),"Y","N"))</f>
        <v/>
      </c>
      <c r="V99" s="227">
        <f>IF($B99="","",IF(AND($U99="Y",OR($C99="3:45 AM",$C99="5:45 AM"),OR('Control Center'!$B$4="N",$K99&lt;&gt;"Y")),"Y","N"))</f>
        <v/>
      </c>
      <c r="W99" s="227">
        <f>IF($B99="","",IF(AND($U99="Y",OR($C99="12:15 PM",$C99="2:00 PM"),OR('Control Center'!$B$5="N",$K99&lt;&gt;"Y")),"Y","N"))</f>
        <v/>
      </c>
      <c r="X99" s="228" t="n"/>
      <c r="Y99" s="229" t="n"/>
      <c r="Z99" s="228" t="n"/>
      <c r="AA99" s="229" t="n"/>
      <c r="AB99" s="230">
        <f>IF($B99="","",IF($P99="Y",IF($Y99="Y","Completed","In Progress"),""))</f>
        <v/>
      </c>
      <c r="AC99" s="119">
        <f>IF($B99="","",IF(COUNTIFS('Approved Absences'!$A$2:$A$200,$B99,'Approved Absences'!$B$2:$B$200,"&lt;="&amp;INT('Control Center'!$B$3),'Approved Absences'!$C$2:$C$200,"&gt;="&amp;INT('Control Center'!$B$3))&gt;0,"Y","N"))</f>
        <v/>
      </c>
      <c r="AD99" s="119">
        <f>IF($B99="","",IF(AND($G99="Y",$AC99&lt;&gt;"Y",ISERROR(SEARCH(TEXT('Control Center'!$B$3,"ddd"),TRIM($D99)))),"Y","N"))</f>
        <v/>
      </c>
      <c r="AE99" s="119">
        <f>IF(AND(AD99="Y",C99="3:45 AM",E99="N",K99&lt;&gt;"Y"),COUNTIFS($AD$2:AD99,"Y",$C$2:C99,"3:45 AM",$E$2:E99,"N",$K$2:K99,"&lt;&gt;Y"),"")</f>
        <v/>
      </c>
      <c r="AF99" s="119">
        <f>IF(AND(AD99="Y",C99="5:45 AM",E99="N",K99&lt;&gt;"Y"),COUNTIFS($AD$2:AD99,"Y",$C$2:C99,"5:45 AM",$E$2:E99,"N",$K$2:K99,"&lt;&gt;Y"),"")</f>
        <v/>
      </c>
      <c r="AG99" s="119">
        <f>IF(AND(AD99="Y",C99="3:45 AM",E99="N",L99="Y",K99&lt;&gt;"Y"),COUNTIFS($AD$2:AD99,"Y",$C$2:C99,"3:45 AM",$E$2:E99,"N",$L$2:L99,"Y",$K$2:K99,"&lt;&gt;Y"),"")</f>
        <v/>
      </c>
      <c r="AH99" s="119">
        <f>IF(AND(AD99="Y",C99="5:45 AM",E99="N",L99="Y",K99&lt;&gt;"Y"),COUNTIFS($AD$2:AD99,"Y",$C$2:C99,"5:45 AM",$E$2:E99,"N",$L$2:L99,"Y",$K$2:K99,"&lt;&gt;Y"),"")</f>
        <v/>
      </c>
      <c r="AI99" s="119">
        <f>IF(AND(AD99="Y",E99="N",K99="Y",OR(C99="3:45 AM",C99="5:45 AM")),SUMPRODUCT(($AD$2:AD99="Y")*($E$2:E99="N")*($K$2:K99="Y")*(($C$2:C99="3:45 AM")+($C$2:C99="5:45 AM"))), "")</f>
        <v/>
      </c>
      <c r="AJ99" s="119">
        <f>IF(AND(AD99="Y",C99="3:45 AM",E99="N",J99="Y"),COUNTIFS($AD$2:AD99,"Y",$C$2:C99,"3:45 AM",$E$2:E99,"N",$J$2:J99,"Y"),"")</f>
        <v/>
      </c>
      <c r="AK99" s="119">
        <f>IF(AND(AD99="Y",E99="N",I99="Y",OR(C99="3:45 AM",C99="5:45 AM")),SUMPRODUCT(($AD$2:AD99="Y")*($E$2:E99="N")*($I$2:I99="Y")*(($C$2:C99="3:45 AM")+($C$2:C99="5:45 AM"))), "")</f>
        <v/>
      </c>
      <c r="AL99" s="119">
        <f>IF(AND(AD99="Y",C99="12:15 PM",E99="N",K99&lt;&gt;"Y"),COUNTIFS($AD$2:AD99,"Y",$C$2:C99,"12:15 PM",$E$2:E99,"N",$K$2:K99,"&lt;&gt;Y"),"")</f>
        <v/>
      </c>
      <c r="AM99" s="119">
        <f>IF(AND(AD99="Y",C99="2:00 PM",E99="N",K99&lt;&gt;"Y"),COUNTIFS($AD$2:AD99,"Y",$C$2:C99,"2:00 PM",$E$2:E99,"N",$K$2:K99,"&lt;&gt;Y"),"")</f>
        <v/>
      </c>
      <c r="AN99" s="119">
        <f>IF(AND(AD99="Y",E99="N",K99="Y",OR(C99="12:15 PM",C99="2:00 PM")),SUMPRODUCT(($AD$2:AD99="Y")*($E$2:E99="N")*($K$2:K99="Y")*(($C$2:C99="12:15 PM")+($C$2:C99="2:00 PM"))), "")</f>
        <v/>
      </c>
      <c r="AO99" s="119">
        <f>IF(AND(AD99="Y",C99="12:15 PM",E99="N",L99="Y"),COUNTIFS($AD$2:AD99,"Y",$C$2:C99,"12:15 PM",$E$2:E99,"N",$L$2:L99,"Y"),"")</f>
        <v/>
      </c>
      <c r="AP99" s="119">
        <f>IF(AND(AD99="Y",C99="2:00 PM",E99="N",L99="Y"),COUNTIFS($AD$2:AD99,"Y",$C$2:C99,"2:00 PM",$E$2:E99,"N",$L$2:L99,"Y"),"")</f>
        <v/>
      </c>
    </row>
    <row r="100" ht="14.25" customHeight="1" s="120">
      <c r="A100" s="231" t="inlineStr">
        <is>
          <t>EMP-0105</t>
        </is>
      </c>
      <c r="B100" s="232" t="inlineStr">
        <is>
          <t>Mildred Torres</t>
        </is>
      </c>
      <c r="C100" s="232" t="inlineStr">
        <is>
          <t>5:45 AM</t>
        </is>
      </c>
      <c r="D100" s="232" t="inlineStr">
        <is>
          <t>Wed, Thu</t>
        </is>
      </c>
      <c r="E100" s="232" t="inlineStr">
        <is>
          <t>N</t>
        </is>
      </c>
      <c r="F100" s="232" t="inlineStr">
        <is>
          <t>N</t>
        </is>
      </c>
      <c r="G100" s="232" t="inlineStr">
        <is>
          <t>Y</t>
        </is>
      </c>
      <c r="H100" s="232" t="inlineStr">
        <is>
          <t>None</t>
        </is>
      </c>
      <c r="I100" s="232" t="inlineStr">
        <is>
          <t>N</t>
        </is>
      </c>
      <c r="J100" s="232" t="inlineStr">
        <is>
          <t>N</t>
        </is>
      </c>
      <c r="K100" s="232" t="inlineStr">
        <is>
          <t>N</t>
        </is>
      </c>
      <c r="L100" s="232" t="inlineStr">
        <is>
          <t>Y</t>
        </is>
      </c>
      <c r="M100" s="232" t="inlineStr">
        <is>
          <t>Standard</t>
        </is>
      </c>
      <c r="N100" s="232" t="n"/>
      <c r="O100" s="232" t="n"/>
      <c r="P100" s="232" t="inlineStr">
        <is>
          <t>N</t>
        </is>
      </c>
      <c r="Q100" s="232" t="n"/>
      <c r="R100" s="232" t="n"/>
      <c r="S100" s="232" t="n"/>
      <c r="T100" s="233" t="inlineStr">
        <is>
          <t>N</t>
        </is>
      </c>
      <c r="U100" s="227">
        <f>IF($B100="","",IF(AND($G100="Y",ISERROR(SEARCH(TEXT('Control Center'!$B$3,"ddd"),TRIM($D100)))),"Y","N"))</f>
        <v/>
      </c>
      <c r="V100" s="227">
        <f>IF($B100="","",IF(AND($U100="Y",OR($C100="3:45 AM",$C100="5:45 AM"),OR('Control Center'!$B$4="N",$K100&lt;&gt;"Y")),"Y","N"))</f>
        <v/>
      </c>
      <c r="W100" s="227">
        <f>IF($B100="","",IF(AND($U100="Y",OR($C100="12:15 PM",$C100="2:00 PM"),OR('Control Center'!$B$5="N",$K100&lt;&gt;"Y")),"Y","N"))</f>
        <v/>
      </c>
      <c r="X100" s="228" t="n"/>
      <c r="Y100" s="229" t="n"/>
      <c r="Z100" s="228" t="n"/>
      <c r="AA100" s="229" t="n"/>
      <c r="AB100" s="230">
        <f>IF($B100="","",IF($P100="Y",IF($Y100="Y","Completed","In Progress"),""))</f>
        <v/>
      </c>
      <c r="AC100" s="119">
        <f>IF($B100="","",IF(COUNTIFS('Approved Absences'!$A$2:$A$200,$B100,'Approved Absences'!$B$2:$B$200,"&lt;="&amp;INT('Control Center'!$B$3),'Approved Absences'!$C$2:$C$200,"&gt;="&amp;INT('Control Center'!$B$3))&gt;0,"Y","N"))</f>
        <v/>
      </c>
      <c r="AD100" s="119">
        <f>IF($B100="","",IF(AND($G100="Y",$AC100&lt;&gt;"Y",ISERROR(SEARCH(TEXT('Control Center'!$B$3,"ddd"),TRIM($D100)))),"Y","N"))</f>
        <v/>
      </c>
      <c r="AE100" s="119">
        <f>IF(AND(AD100="Y",C100="3:45 AM",E100="N",K100&lt;&gt;"Y"),COUNTIFS($AD$2:AD100,"Y",$C$2:C100,"3:45 AM",$E$2:E100,"N",$K$2:K100,"&lt;&gt;Y"),"")</f>
        <v/>
      </c>
      <c r="AF100" s="119">
        <f>IF(AND(AD100="Y",C100="5:45 AM",E100="N",K100&lt;&gt;"Y"),COUNTIFS($AD$2:AD100,"Y",$C$2:C100,"5:45 AM",$E$2:E100,"N",$K$2:K100,"&lt;&gt;Y"),"")</f>
        <v/>
      </c>
      <c r="AG100" s="119">
        <f>IF(AND(AD100="Y",C100="3:45 AM",E100="N",L100="Y",K100&lt;&gt;"Y"),COUNTIFS($AD$2:AD100,"Y",$C$2:C100,"3:45 AM",$E$2:E100,"N",$L$2:L100,"Y",$K$2:K100,"&lt;&gt;Y"),"")</f>
        <v/>
      </c>
      <c r="AH100" s="119">
        <f>IF(AND(AD100="Y",C100="5:45 AM",E100="N",L100="Y",K100&lt;&gt;"Y"),COUNTIFS($AD$2:AD100,"Y",$C$2:C100,"5:45 AM",$E$2:E100,"N",$L$2:L100,"Y",$K$2:K100,"&lt;&gt;Y"),"")</f>
        <v/>
      </c>
      <c r="AI100" s="119">
        <f>IF(AND(AD100="Y",E100="N",K100="Y",OR(C100="3:45 AM",C100="5:45 AM")),SUMPRODUCT(($AD$2:AD100="Y")*($E$2:E100="N")*($K$2:K100="Y")*(($C$2:C100="3:45 AM")+($C$2:C100="5:45 AM"))), "")</f>
        <v/>
      </c>
      <c r="AJ100" s="119">
        <f>IF(AND(AD100="Y",C100="3:45 AM",E100="N",J100="Y"),COUNTIFS($AD$2:AD100,"Y",$C$2:C100,"3:45 AM",$E$2:E100,"N",$J$2:J100,"Y"),"")</f>
        <v/>
      </c>
      <c r="AK100" s="119">
        <f>IF(AND(AD100="Y",E100="N",I100="Y",OR(C100="3:45 AM",C100="5:45 AM")),SUMPRODUCT(($AD$2:AD100="Y")*($E$2:E100="N")*($I$2:I100="Y")*(($C$2:C100="3:45 AM")+($C$2:C100="5:45 AM"))), "")</f>
        <v/>
      </c>
      <c r="AL100" s="119">
        <f>IF(AND(AD100="Y",C100="12:15 PM",E100="N",K100&lt;&gt;"Y"),COUNTIFS($AD$2:AD100,"Y",$C$2:C100,"12:15 PM",$E$2:E100,"N",$K$2:K100,"&lt;&gt;Y"),"")</f>
        <v/>
      </c>
      <c r="AM100" s="119">
        <f>IF(AND(AD100="Y",C100="2:00 PM",E100="N",K100&lt;&gt;"Y"),COUNTIFS($AD$2:AD100,"Y",$C$2:C100,"2:00 PM",$E$2:E100,"N",$K$2:K100,"&lt;&gt;Y"),"")</f>
        <v/>
      </c>
      <c r="AN100" s="119">
        <f>IF(AND(AD100="Y",E100="N",K100="Y",OR(C100="12:15 PM",C100="2:00 PM")),SUMPRODUCT(($AD$2:AD100="Y")*($E$2:E100="N")*($K$2:K100="Y")*(($C$2:C100="12:15 PM")+($C$2:C100="2:00 PM"))), "")</f>
        <v/>
      </c>
      <c r="AO100" s="119">
        <f>IF(AND(AD100="Y",C100="12:15 PM",E100="N",L100="Y"),COUNTIFS($AD$2:AD100,"Y",$C$2:C100,"12:15 PM",$E$2:E100,"N",$L$2:L100,"Y"),"")</f>
        <v/>
      </c>
      <c r="AP100" s="119">
        <f>IF(AND(AD100="Y",C100="2:00 PM",E100="N",L100="Y"),COUNTIFS($AD$2:AD100,"Y",$C$2:C100,"2:00 PM",$E$2:E100,"N",$L$2:L100,"Y"),"")</f>
        <v/>
      </c>
    </row>
    <row r="101" ht="14.25" customHeight="1" s="120">
      <c r="A101" s="231" t="inlineStr">
        <is>
          <t>EMP-0107</t>
        </is>
      </c>
      <c r="B101" s="232" t="inlineStr">
        <is>
          <t>Moneshia Echols</t>
        </is>
      </c>
      <c r="C101" s="232" t="inlineStr">
        <is>
          <t>3:45 AM</t>
        </is>
      </c>
      <c r="D101" s="232" t="inlineStr">
        <is>
          <t>Thu, Fri</t>
        </is>
      </c>
      <c r="E101" s="232" t="inlineStr">
        <is>
          <t>N</t>
        </is>
      </c>
      <c r="F101" s="232" t="inlineStr">
        <is>
          <t>N</t>
        </is>
      </c>
      <c r="G101" s="232" t="inlineStr">
        <is>
          <t>Y</t>
        </is>
      </c>
      <c r="H101" s="232" t="inlineStr">
        <is>
          <t>None</t>
        </is>
      </c>
      <c r="I101" s="232" t="inlineStr">
        <is>
          <t>N</t>
        </is>
      </c>
      <c r="J101" s="232" t="inlineStr">
        <is>
          <t>N</t>
        </is>
      </c>
      <c r="K101" s="232" t="inlineStr">
        <is>
          <t>N</t>
        </is>
      </c>
      <c r="L101" s="232" t="inlineStr">
        <is>
          <t>Y</t>
        </is>
      </c>
      <c r="M101" s="232" t="inlineStr">
        <is>
          <t>Standard</t>
        </is>
      </c>
      <c r="N101" s="232" t="n"/>
      <c r="O101" s="232" t="n"/>
      <c r="P101" s="232" t="inlineStr">
        <is>
          <t>N</t>
        </is>
      </c>
      <c r="Q101" s="232" t="n"/>
      <c r="R101" s="232" t="n"/>
      <c r="S101" s="232" t="n"/>
      <c r="T101" s="233" t="inlineStr">
        <is>
          <t>N</t>
        </is>
      </c>
      <c r="U101" s="227">
        <f>IF($B101="","",IF(AND($G101="Y",ISERROR(SEARCH(TEXT('Control Center'!$B$3,"ddd"),TRIM($D101)))),"Y","N"))</f>
        <v/>
      </c>
      <c r="V101" s="227">
        <f>IF($B101="","",IF(AND($U101="Y",OR($C101="3:45 AM",$C101="5:45 AM"),OR('Control Center'!$B$4="N",$K101&lt;&gt;"Y")),"Y","N"))</f>
        <v/>
      </c>
      <c r="W101" s="227">
        <f>IF($B101="","",IF(AND($U101="Y",OR($C101="12:15 PM",$C101="2:00 PM"),OR('Control Center'!$B$5="N",$K101&lt;&gt;"Y")),"Y","N"))</f>
        <v/>
      </c>
      <c r="X101" s="228" t="n"/>
      <c r="Y101" s="229" t="n"/>
      <c r="Z101" s="228" t="n"/>
      <c r="AA101" s="229" t="n"/>
      <c r="AB101" s="230">
        <f>IF($B101="","",IF($P101="Y",IF($Y101="Y","Completed","In Progress"),""))</f>
        <v/>
      </c>
      <c r="AC101" s="119">
        <f>IF($B101="","",IF(COUNTIFS('Approved Absences'!$A$2:$A$200,$B101,'Approved Absences'!$B$2:$B$200,"&lt;="&amp;INT('Control Center'!$B$3),'Approved Absences'!$C$2:$C$200,"&gt;="&amp;INT('Control Center'!$B$3))&gt;0,"Y","N"))</f>
        <v/>
      </c>
      <c r="AD101" s="119">
        <f>IF($B101="","",IF(AND($G101="Y",$AC101&lt;&gt;"Y",ISERROR(SEARCH(TEXT('Control Center'!$B$3,"ddd"),TRIM($D101)))),"Y","N"))</f>
        <v/>
      </c>
      <c r="AE101" s="119">
        <f>IF(AND(AD101="Y",C101="3:45 AM",E101="N",K101&lt;&gt;"Y"),COUNTIFS($AD$2:AD101,"Y",$C$2:C101,"3:45 AM",$E$2:E101,"N",$K$2:K101,"&lt;&gt;Y"),"")</f>
        <v/>
      </c>
      <c r="AF101" s="119">
        <f>IF(AND(AD101="Y",C101="5:45 AM",E101="N",K101&lt;&gt;"Y"),COUNTIFS($AD$2:AD101,"Y",$C$2:C101,"5:45 AM",$E$2:E101,"N",$K$2:K101,"&lt;&gt;Y"),"")</f>
        <v/>
      </c>
      <c r="AG101" s="119">
        <f>IF(AND(AD101="Y",C101="3:45 AM",E101="N",L101="Y",K101&lt;&gt;"Y"),COUNTIFS($AD$2:AD101,"Y",$C$2:C101,"3:45 AM",$E$2:E101,"N",$L$2:L101,"Y",$K$2:K101,"&lt;&gt;Y"),"")</f>
        <v/>
      </c>
      <c r="AH101" s="119">
        <f>IF(AND(AD101="Y",C101="5:45 AM",E101="N",L101="Y",K101&lt;&gt;"Y"),COUNTIFS($AD$2:AD101,"Y",$C$2:C101,"5:45 AM",$E$2:E101,"N",$L$2:L101,"Y",$K$2:K101,"&lt;&gt;Y"),"")</f>
        <v/>
      </c>
      <c r="AI101" s="119">
        <f>IF(AND(AD101="Y",E101="N",K101="Y",OR(C101="3:45 AM",C101="5:45 AM")),SUMPRODUCT(($AD$2:AD101="Y")*($E$2:E101="N")*($K$2:K101="Y")*(($C$2:C101="3:45 AM")+($C$2:C101="5:45 AM"))), "")</f>
        <v/>
      </c>
      <c r="AJ101" s="119">
        <f>IF(AND(AD101="Y",C101="3:45 AM",E101="N",J101="Y"),COUNTIFS($AD$2:AD101,"Y",$C$2:C101,"3:45 AM",$E$2:E101,"N",$J$2:J101,"Y"),"")</f>
        <v/>
      </c>
      <c r="AK101" s="119">
        <f>IF(AND(AD101="Y",E101="N",I101="Y",OR(C101="3:45 AM",C101="5:45 AM")),SUMPRODUCT(($AD$2:AD101="Y")*($E$2:E101="N")*($I$2:I101="Y")*(($C$2:C101="3:45 AM")+($C$2:C101="5:45 AM"))), "")</f>
        <v/>
      </c>
      <c r="AL101" s="119">
        <f>IF(AND(AD101="Y",C101="12:15 PM",E101="N",K101&lt;&gt;"Y"),COUNTIFS($AD$2:AD101,"Y",$C$2:C101,"12:15 PM",$E$2:E101,"N",$K$2:K101,"&lt;&gt;Y"),"")</f>
        <v/>
      </c>
      <c r="AM101" s="119">
        <f>IF(AND(AD101="Y",C101="2:00 PM",E101="N",K101&lt;&gt;"Y"),COUNTIFS($AD$2:AD101,"Y",$C$2:C101,"2:00 PM",$E$2:E101,"N",$K$2:K101,"&lt;&gt;Y"),"")</f>
        <v/>
      </c>
      <c r="AN101" s="119">
        <f>IF(AND(AD101="Y",E101="N",K101="Y",OR(C101="12:15 PM",C101="2:00 PM")),SUMPRODUCT(($AD$2:AD101="Y")*($E$2:E101="N")*($K$2:K101="Y")*(($C$2:C101="12:15 PM")+($C$2:C101="2:00 PM"))), "")</f>
        <v/>
      </c>
      <c r="AO101" s="119">
        <f>IF(AND(AD101="Y",C101="12:15 PM",E101="N",L101="Y"),COUNTIFS($AD$2:AD101,"Y",$C$2:C101,"12:15 PM",$E$2:E101,"N",$L$2:L101,"Y"),"")</f>
        <v/>
      </c>
      <c r="AP101" s="119">
        <f>IF(AND(AD101="Y",C101="2:00 PM",E101="N",L101="Y"),COUNTIFS($AD$2:AD101,"Y",$C$2:C101,"2:00 PM",$E$2:E101,"N",$L$2:L101,"Y"),"")</f>
        <v/>
      </c>
    </row>
    <row r="102" ht="14.25" customHeight="1" s="120">
      <c r="A102" s="231" t="inlineStr">
        <is>
          <t>EMP-0108</t>
        </is>
      </c>
      <c r="B102" s="232" t="inlineStr">
        <is>
          <t>Monica Ortiz</t>
        </is>
      </c>
      <c r="C102" s="232" t="inlineStr">
        <is>
          <t>5:45 AM</t>
        </is>
      </c>
      <c r="D102" s="232" t="inlineStr">
        <is>
          <t>Tue, Wed</t>
        </is>
      </c>
      <c r="E102" s="232" t="inlineStr">
        <is>
          <t>N</t>
        </is>
      </c>
      <c r="F102" s="232" t="inlineStr">
        <is>
          <t>N</t>
        </is>
      </c>
      <c r="G102" s="232" t="inlineStr">
        <is>
          <t>Y</t>
        </is>
      </c>
      <c r="H102" s="232" t="inlineStr">
        <is>
          <t>None</t>
        </is>
      </c>
      <c r="I102" s="232" t="inlineStr">
        <is>
          <t>N</t>
        </is>
      </c>
      <c r="J102" s="232" t="inlineStr">
        <is>
          <t>N</t>
        </is>
      </c>
      <c r="K102" s="232" t="inlineStr">
        <is>
          <t>N</t>
        </is>
      </c>
      <c r="L102" s="232" t="inlineStr">
        <is>
          <t>Y</t>
        </is>
      </c>
      <c r="M102" s="232" t="inlineStr">
        <is>
          <t>Standard</t>
        </is>
      </c>
      <c r="N102" s="232" t="n"/>
      <c r="O102" s="232" t="n"/>
      <c r="P102" s="232" t="inlineStr">
        <is>
          <t>N</t>
        </is>
      </c>
      <c r="Q102" s="232" t="n"/>
      <c r="R102" s="232" t="n"/>
      <c r="S102" s="232" t="n"/>
      <c r="T102" s="233" t="inlineStr">
        <is>
          <t>N</t>
        </is>
      </c>
      <c r="U102" s="227">
        <f>IF($B102="","",IF(AND($G102="Y",ISERROR(SEARCH(TEXT('Control Center'!$B$3,"ddd"),TRIM($D102)))),"Y","N"))</f>
        <v/>
      </c>
      <c r="V102" s="227">
        <f>IF($B102="","",IF(AND($U102="Y",OR($C102="3:45 AM",$C102="5:45 AM"),OR('Control Center'!$B$4="N",$K102&lt;&gt;"Y")),"Y","N"))</f>
        <v/>
      </c>
      <c r="W102" s="227">
        <f>IF($B102="","",IF(AND($U102="Y",OR($C102="12:15 PM",$C102="2:00 PM"),OR('Control Center'!$B$5="N",$K102&lt;&gt;"Y")),"Y","N"))</f>
        <v/>
      </c>
      <c r="X102" s="228" t="n"/>
      <c r="Y102" s="229" t="n"/>
      <c r="Z102" s="228" t="n"/>
      <c r="AA102" s="229" t="n"/>
      <c r="AB102" s="230">
        <f>IF($B102="","",IF($P102="Y",IF($Y102="Y","Completed","In Progress"),""))</f>
        <v/>
      </c>
      <c r="AC102" s="119">
        <f>IF($B102="","",IF(COUNTIFS('Approved Absences'!$A$2:$A$200,$B102,'Approved Absences'!$B$2:$B$200,"&lt;="&amp;INT('Control Center'!$B$3),'Approved Absences'!$C$2:$C$200,"&gt;="&amp;INT('Control Center'!$B$3))&gt;0,"Y","N"))</f>
        <v/>
      </c>
      <c r="AD102" s="119">
        <f>IF($B102="","",IF(AND($G102="Y",$AC102&lt;&gt;"Y",ISERROR(SEARCH(TEXT('Control Center'!$B$3,"ddd"),TRIM($D102)))),"Y","N"))</f>
        <v/>
      </c>
      <c r="AE102" s="119">
        <f>IF(AND(AD102="Y",C102="3:45 AM",E102="N",K102&lt;&gt;"Y"),COUNTIFS($AD$2:AD102,"Y",$C$2:C102,"3:45 AM",$E$2:E102,"N",$K$2:K102,"&lt;&gt;Y"),"")</f>
        <v/>
      </c>
      <c r="AF102" s="119">
        <f>IF(AND(AD102="Y",C102="5:45 AM",E102="N",K102&lt;&gt;"Y"),COUNTIFS($AD$2:AD102,"Y",$C$2:C102,"5:45 AM",$E$2:E102,"N",$K$2:K102,"&lt;&gt;Y"),"")</f>
        <v/>
      </c>
      <c r="AG102" s="119">
        <f>IF(AND(AD102="Y",C102="3:45 AM",E102="N",L102="Y",K102&lt;&gt;"Y"),COUNTIFS($AD$2:AD102,"Y",$C$2:C102,"3:45 AM",$E$2:E102,"N",$L$2:L102,"Y",$K$2:K102,"&lt;&gt;Y"),"")</f>
        <v/>
      </c>
      <c r="AH102" s="119">
        <f>IF(AND(AD102="Y",C102="5:45 AM",E102="N",L102="Y",K102&lt;&gt;"Y"),COUNTIFS($AD$2:AD102,"Y",$C$2:C102,"5:45 AM",$E$2:E102,"N",$L$2:L102,"Y",$K$2:K102,"&lt;&gt;Y"),"")</f>
        <v/>
      </c>
      <c r="AI102" s="119">
        <f>IF(AND(AD102="Y",E102="N",K102="Y",OR(C102="3:45 AM",C102="5:45 AM")),SUMPRODUCT(($AD$2:AD102="Y")*($E$2:E102="N")*($K$2:K102="Y")*(($C$2:C102="3:45 AM")+($C$2:C102="5:45 AM"))), "")</f>
        <v/>
      </c>
      <c r="AJ102" s="119">
        <f>IF(AND(AD102="Y",C102="3:45 AM",E102="N",J102="Y"),COUNTIFS($AD$2:AD102,"Y",$C$2:C102,"3:45 AM",$E$2:E102,"N",$J$2:J102,"Y"),"")</f>
        <v/>
      </c>
      <c r="AK102" s="119">
        <f>IF(AND(AD102="Y",E102="N",I102="Y",OR(C102="3:45 AM",C102="5:45 AM")),SUMPRODUCT(($AD$2:AD102="Y")*($E$2:E102="N")*($I$2:I102="Y")*(($C$2:C102="3:45 AM")+($C$2:C102="5:45 AM"))), "")</f>
        <v/>
      </c>
      <c r="AL102" s="119">
        <f>IF(AND(AD102="Y",C102="12:15 PM",E102="N",K102&lt;&gt;"Y"),COUNTIFS($AD$2:AD102,"Y",$C$2:C102,"12:15 PM",$E$2:E102,"N",$K$2:K102,"&lt;&gt;Y"),"")</f>
        <v/>
      </c>
      <c r="AM102" s="119">
        <f>IF(AND(AD102="Y",C102="2:00 PM",E102="N",K102&lt;&gt;"Y"),COUNTIFS($AD$2:AD102,"Y",$C$2:C102,"2:00 PM",$E$2:E102,"N",$K$2:K102,"&lt;&gt;Y"),"")</f>
        <v/>
      </c>
      <c r="AN102" s="119">
        <f>IF(AND(AD102="Y",E102="N",K102="Y",OR(C102="12:15 PM",C102="2:00 PM")),SUMPRODUCT(($AD$2:AD102="Y")*($E$2:E102="N")*($K$2:K102="Y")*(($C$2:C102="12:15 PM")+($C$2:C102="2:00 PM"))), "")</f>
        <v/>
      </c>
      <c r="AO102" s="119">
        <f>IF(AND(AD102="Y",C102="12:15 PM",E102="N",L102="Y"),COUNTIFS($AD$2:AD102,"Y",$C$2:C102,"12:15 PM",$E$2:E102,"N",$L$2:L102,"Y"),"")</f>
        <v/>
      </c>
      <c r="AP102" s="119">
        <f>IF(AND(AD102="Y",C102="2:00 PM",E102="N",L102="Y"),COUNTIFS($AD$2:AD102,"Y",$C$2:C102,"2:00 PM",$E$2:E102,"N",$L$2:L102,"Y"),"")</f>
        <v/>
      </c>
    </row>
    <row r="103" ht="14.25" customHeight="1" s="120">
      <c r="A103" s="231" t="inlineStr">
        <is>
          <t>EMP-0109</t>
        </is>
      </c>
      <c r="B103" s="232" t="inlineStr">
        <is>
          <t>Monique Hicks</t>
        </is>
      </c>
      <c r="C103" s="232" t="inlineStr">
        <is>
          <t>5:45 AM</t>
        </is>
      </c>
      <c r="D103" s="232" t="inlineStr">
        <is>
          <t>Tue, Wed</t>
        </is>
      </c>
      <c r="E103" s="232" t="inlineStr">
        <is>
          <t>N</t>
        </is>
      </c>
      <c r="F103" s="232" t="inlineStr">
        <is>
          <t>N</t>
        </is>
      </c>
      <c r="G103" s="232" t="inlineStr">
        <is>
          <t>Y</t>
        </is>
      </c>
      <c r="H103" s="232" t="inlineStr">
        <is>
          <t>None</t>
        </is>
      </c>
      <c r="I103" s="232" t="inlineStr">
        <is>
          <t>N</t>
        </is>
      </c>
      <c r="J103" s="232" t="inlineStr">
        <is>
          <t>N</t>
        </is>
      </c>
      <c r="K103" s="232" t="inlineStr">
        <is>
          <t>N</t>
        </is>
      </c>
      <c r="L103" s="232" t="inlineStr">
        <is>
          <t>Y</t>
        </is>
      </c>
      <c r="M103" s="232" t="inlineStr">
        <is>
          <t>Standard</t>
        </is>
      </c>
      <c r="N103" s="232" t="n"/>
      <c r="O103" s="232" t="n"/>
      <c r="P103" s="232" t="inlineStr">
        <is>
          <t>N</t>
        </is>
      </c>
      <c r="Q103" s="232" t="n"/>
      <c r="R103" s="232" t="n"/>
      <c r="S103" s="232" t="n"/>
      <c r="T103" s="233" t="inlineStr">
        <is>
          <t>N</t>
        </is>
      </c>
      <c r="U103" s="227">
        <f>IF($B103="","",IF(AND($G103="Y",ISERROR(SEARCH(TEXT('Control Center'!$B$3,"ddd"),TRIM($D103)))),"Y","N"))</f>
        <v/>
      </c>
      <c r="V103" s="227">
        <f>IF($B103="","",IF(AND($U103="Y",OR($C103="3:45 AM",$C103="5:45 AM"),OR('Control Center'!$B$4="N",$K103&lt;&gt;"Y")),"Y","N"))</f>
        <v/>
      </c>
      <c r="W103" s="227">
        <f>IF($B103="","",IF(AND($U103="Y",OR($C103="12:15 PM",$C103="2:00 PM"),OR('Control Center'!$B$5="N",$K103&lt;&gt;"Y")),"Y","N"))</f>
        <v/>
      </c>
      <c r="X103" s="228" t="n"/>
      <c r="Y103" s="229" t="n"/>
      <c r="Z103" s="228" t="n"/>
      <c r="AA103" s="229" t="n"/>
      <c r="AB103" s="230">
        <f>IF($B103="","",IF($P103="Y",IF($Y103="Y","Completed","In Progress"),""))</f>
        <v/>
      </c>
      <c r="AC103" s="119">
        <f>IF($B103="","",IF(COUNTIFS('Approved Absences'!$A$2:$A$200,$B103,'Approved Absences'!$B$2:$B$200,"&lt;="&amp;INT('Control Center'!$B$3),'Approved Absences'!$C$2:$C$200,"&gt;="&amp;INT('Control Center'!$B$3))&gt;0,"Y","N"))</f>
        <v/>
      </c>
      <c r="AD103" s="119">
        <f>IF($B103="","",IF(AND($G103="Y",$AC103&lt;&gt;"Y",ISERROR(SEARCH(TEXT('Control Center'!$B$3,"ddd"),TRIM($D103)))),"Y","N"))</f>
        <v/>
      </c>
      <c r="AE103" s="119">
        <f>IF(AND(AD103="Y",C103="3:45 AM",E103="N",K103&lt;&gt;"Y"),COUNTIFS($AD$2:AD103,"Y",$C$2:C103,"3:45 AM",$E$2:E103,"N",$K$2:K103,"&lt;&gt;Y"),"")</f>
        <v/>
      </c>
      <c r="AF103" s="119">
        <f>IF(AND(AD103="Y",C103="5:45 AM",E103="N",K103&lt;&gt;"Y"),COUNTIFS($AD$2:AD103,"Y",$C$2:C103,"5:45 AM",$E$2:E103,"N",$K$2:K103,"&lt;&gt;Y"),"")</f>
        <v/>
      </c>
      <c r="AG103" s="119">
        <f>IF(AND(AD103="Y",C103="3:45 AM",E103="N",L103="Y",K103&lt;&gt;"Y"),COUNTIFS($AD$2:AD103,"Y",$C$2:C103,"3:45 AM",$E$2:E103,"N",$L$2:L103,"Y",$K$2:K103,"&lt;&gt;Y"),"")</f>
        <v/>
      </c>
      <c r="AH103" s="119">
        <f>IF(AND(AD103="Y",C103="5:45 AM",E103="N",L103="Y",K103&lt;&gt;"Y"),COUNTIFS($AD$2:AD103,"Y",$C$2:C103,"5:45 AM",$E$2:E103,"N",$L$2:L103,"Y",$K$2:K103,"&lt;&gt;Y"),"")</f>
        <v/>
      </c>
      <c r="AI103" s="119">
        <f>IF(AND(AD103="Y",E103="N",K103="Y",OR(C103="3:45 AM",C103="5:45 AM")),SUMPRODUCT(($AD$2:AD103="Y")*($E$2:E103="N")*($K$2:K103="Y")*(($C$2:C103="3:45 AM")+($C$2:C103="5:45 AM"))), "")</f>
        <v/>
      </c>
      <c r="AJ103" s="119">
        <f>IF(AND(AD103="Y",C103="3:45 AM",E103="N",J103="Y"),COUNTIFS($AD$2:AD103,"Y",$C$2:C103,"3:45 AM",$E$2:E103,"N",$J$2:J103,"Y"),"")</f>
        <v/>
      </c>
      <c r="AK103" s="119">
        <f>IF(AND(AD103="Y",E103="N",I103="Y",OR(C103="3:45 AM",C103="5:45 AM")),SUMPRODUCT(($AD$2:AD103="Y")*($E$2:E103="N")*($I$2:I103="Y")*(($C$2:C103="3:45 AM")+($C$2:C103="5:45 AM"))), "")</f>
        <v/>
      </c>
      <c r="AL103" s="119">
        <f>IF(AND(AD103="Y",C103="12:15 PM",E103="N",K103&lt;&gt;"Y"),COUNTIFS($AD$2:AD103,"Y",$C$2:C103,"12:15 PM",$E$2:E103,"N",$K$2:K103,"&lt;&gt;Y"),"")</f>
        <v/>
      </c>
      <c r="AM103" s="119">
        <f>IF(AND(AD103="Y",C103="2:00 PM",E103="N",K103&lt;&gt;"Y"),COUNTIFS($AD$2:AD103,"Y",$C$2:C103,"2:00 PM",$E$2:E103,"N",$K$2:K103,"&lt;&gt;Y"),"")</f>
        <v/>
      </c>
      <c r="AN103" s="119">
        <f>IF(AND(AD103="Y",E103="N",K103="Y",OR(C103="12:15 PM",C103="2:00 PM")),SUMPRODUCT(($AD$2:AD103="Y")*($E$2:E103="N")*($K$2:K103="Y")*(($C$2:C103="12:15 PM")+($C$2:C103="2:00 PM"))), "")</f>
        <v/>
      </c>
      <c r="AO103" s="119">
        <f>IF(AND(AD103="Y",C103="12:15 PM",E103="N",L103="Y"),COUNTIFS($AD$2:AD103,"Y",$C$2:C103,"12:15 PM",$E$2:E103,"N",$L$2:L103,"Y"),"")</f>
        <v/>
      </c>
      <c r="AP103" s="119">
        <f>IF(AND(AD103="Y",C103="2:00 PM",E103="N",L103="Y"),COUNTIFS($AD$2:AD103,"Y",$C$2:C103,"2:00 PM",$E$2:E103,"N",$L$2:L103,"Y"),"")</f>
        <v/>
      </c>
    </row>
    <row r="104" ht="14.25" customHeight="1" s="120">
      <c r="A104" s="231" t="inlineStr">
        <is>
          <t>EMP-0110</t>
        </is>
      </c>
      <c r="B104" s="232" t="inlineStr">
        <is>
          <t>Mosrur Jafer</t>
        </is>
      </c>
      <c r="C104" s="232" t="inlineStr">
        <is>
          <t>5:45 AM</t>
        </is>
      </c>
      <c r="D104" s="232" t="inlineStr">
        <is>
          <t>Mon, Tue</t>
        </is>
      </c>
      <c r="E104" s="232" t="inlineStr">
        <is>
          <t>N</t>
        </is>
      </c>
      <c r="F104" s="232" t="inlineStr">
        <is>
          <t>N</t>
        </is>
      </c>
      <c r="G104" s="232" t="inlineStr">
        <is>
          <t>Y</t>
        </is>
      </c>
      <c r="H104" s="232" t="inlineStr">
        <is>
          <t>None</t>
        </is>
      </c>
      <c r="I104" s="232" t="inlineStr">
        <is>
          <t>N</t>
        </is>
      </c>
      <c r="J104" s="232" t="inlineStr">
        <is>
          <t>Y</t>
        </is>
      </c>
      <c r="K104" s="232" t="inlineStr">
        <is>
          <t>N</t>
        </is>
      </c>
      <c r="L104" s="232" t="inlineStr">
        <is>
          <t>Y</t>
        </is>
      </c>
      <c r="M104" s="232" t="inlineStr">
        <is>
          <t>Standard</t>
        </is>
      </c>
      <c r="N104" s="232" t="n"/>
      <c r="O104" s="232" t="n"/>
      <c r="P104" s="232" t="inlineStr">
        <is>
          <t>N</t>
        </is>
      </c>
      <c r="Q104" s="232" t="n"/>
      <c r="R104" s="232" t="n"/>
      <c r="S104" s="232" t="n"/>
      <c r="T104" s="233" t="inlineStr">
        <is>
          <t>N</t>
        </is>
      </c>
      <c r="U104" s="227">
        <f>IF($B104="","",IF(AND($G104="Y",ISERROR(SEARCH(TEXT('Control Center'!$B$3,"ddd"),TRIM($D104)))),"Y","N"))</f>
        <v/>
      </c>
      <c r="V104" s="227">
        <f>IF($B104="","",IF(AND($U104="Y",OR($C104="3:45 AM",$C104="5:45 AM"),OR('Control Center'!$B$4="N",$K104&lt;&gt;"Y")),"Y","N"))</f>
        <v/>
      </c>
      <c r="W104" s="227">
        <f>IF($B104="","",IF(AND($U104="Y",OR($C104="12:15 PM",$C104="2:00 PM"),OR('Control Center'!$B$5="N",$K104&lt;&gt;"Y")),"Y","N"))</f>
        <v/>
      </c>
      <c r="X104" s="228" t="n"/>
      <c r="Y104" s="229" t="n"/>
      <c r="Z104" s="228" t="n"/>
      <c r="AA104" s="229" t="n"/>
      <c r="AB104" s="230">
        <f>IF($B104="","",IF($P104="Y",IF($Y104="Y","Completed","In Progress"),""))</f>
        <v/>
      </c>
      <c r="AC104" s="119">
        <f>IF($B104="","",IF(COUNTIFS('Approved Absences'!$A$2:$A$200,$B104,'Approved Absences'!$B$2:$B$200,"&lt;="&amp;INT('Control Center'!$B$3),'Approved Absences'!$C$2:$C$200,"&gt;="&amp;INT('Control Center'!$B$3))&gt;0,"Y","N"))</f>
        <v/>
      </c>
      <c r="AD104" s="119">
        <f>IF($B104="","",IF(AND($G104="Y",$AC104&lt;&gt;"Y",ISERROR(SEARCH(TEXT('Control Center'!$B$3,"ddd"),TRIM($D104)))),"Y","N"))</f>
        <v/>
      </c>
      <c r="AE104" s="119">
        <f>IF(AND(AD104="Y",C104="3:45 AM",E104="N",K104&lt;&gt;"Y"),COUNTIFS($AD$2:AD104,"Y",$C$2:C104,"3:45 AM",$E$2:E104,"N",$K$2:K104,"&lt;&gt;Y"),"")</f>
        <v/>
      </c>
      <c r="AF104" s="119">
        <f>IF(AND(AD104="Y",C104="5:45 AM",E104="N",K104&lt;&gt;"Y"),COUNTIFS($AD$2:AD104,"Y",$C$2:C104,"5:45 AM",$E$2:E104,"N",$K$2:K104,"&lt;&gt;Y"),"")</f>
        <v/>
      </c>
      <c r="AG104" s="119">
        <f>IF(AND(AD104="Y",C104="3:45 AM",E104="N",L104="Y",K104&lt;&gt;"Y"),COUNTIFS($AD$2:AD104,"Y",$C$2:C104,"3:45 AM",$E$2:E104,"N",$L$2:L104,"Y",$K$2:K104,"&lt;&gt;Y"),"")</f>
        <v/>
      </c>
      <c r="AH104" s="119">
        <f>IF(AND(AD104="Y",C104="5:45 AM",E104="N",L104="Y",K104&lt;&gt;"Y"),COUNTIFS($AD$2:AD104,"Y",$C$2:C104,"5:45 AM",$E$2:E104,"N",$L$2:L104,"Y",$K$2:K104,"&lt;&gt;Y"),"")</f>
        <v/>
      </c>
      <c r="AI104" s="119">
        <f>IF(AND(AD104="Y",E104="N",K104="Y",OR(C104="3:45 AM",C104="5:45 AM")),SUMPRODUCT(($AD$2:AD104="Y")*($E$2:E104="N")*($K$2:K104="Y")*(($C$2:C104="3:45 AM")+($C$2:C104="5:45 AM"))), "")</f>
        <v/>
      </c>
      <c r="AJ104" s="119">
        <f>IF(AND(AD104="Y",C104="3:45 AM",E104="N",J104="Y"),COUNTIFS($AD$2:AD104,"Y",$C$2:C104,"3:45 AM",$E$2:E104,"N",$J$2:J104,"Y"),"")</f>
        <v/>
      </c>
      <c r="AK104" s="119">
        <f>IF(AND(AD104="Y",E104="N",I104="Y",OR(C104="3:45 AM",C104="5:45 AM")),SUMPRODUCT(($AD$2:AD104="Y")*($E$2:E104="N")*($I$2:I104="Y")*(($C$2:C104="3:45 AM")+($C$2:C104="5:45 AM"))), "")</f>
        <v/>
      </c>
      <c r="AL104" s="119">
        <f>IF(AND(AD104="Y",C104="12:15 PM",E104="N",K104&lt;&gt;"Y"),COUNTIFS($AD$2:AD104,"Y",$C$2:C104,"12:15 PM",$E$2:E104,"N",$K$2:K104,"&lt;&gt;Y"),"")</f>
        <v/>
      </c>
      <c r="AM104" s="119">
        <f>IF(AND(AD104="Y",C104="2:00 PM",E104="N",K104&lt;&gt;"Y"),COUNTIFS($AD$2:AD104,"Y",$C$2:C104,"2:00 PM",$E$2:E104,"N",$K$2:K104,"&lt;&gt;Y"),"")</f>
        <v/>
      </c>
      <c r="AN104" s="119">
        <f>IF(AND(AD104="Y",E104="N",K104="Y",OR(C104="12:15 PM",C104="2:00 PM")),SUMPRODUCT(($AD$2:AD104="Y")*($E$2:E104="N")*($K$2:K104="Y")*(($C$2:C104="12:15 PM")+($C$2:C104="2:00 PM"))), "")</f>
        <v/>
      </c>
      <c r="AO104" s="119">
        <f>IF(AND(AD104="Y",C104="12:15 PM",E104="N",L104="Y"),COUNTIFS($AD$2:AD104,"Y",$C$2:C104,"12:15 PM",$E$2:E104,"N",$L$2:L104,"Y"),"")</f>
        <v/>
      </c>
      <c r="AP104" s="119">
        <f>IF(AND(AD104="Y",C104="2:00 PM",E104="N",L104="Y"),COUNTIFS($AD$2:AD104,"Y",$C$2:C104,"2:00 PM",$E$2:E104,"N",$L$2:L104,"Y"),"")</f>
        <v/>
      </c>
    </row>
    <row r="105" ht="14.25" customHeight="1" s="120">
      <c r="A105" s="231" t="inlineStr">
        <is>
          <t>EMP-0111</t>
        </is>
      </c>
      <c r="B105" s="232" t="inlineStr">
        <is>
          <t>Mwasiti Sadiki</t>
        </is>
      </c>
      <c r="C105" s="232" t="inlineStr">
        <is>
          <t>5:45 AM</t>
        </is>
      </c>
      <c r="D105" s="232" t="inlineStr">
        <is>
          <t>Mon, Tue</t>
        </is>
      </c>
      <c r="E105" s="232" t="inlineStr">
        <is>
          <t>N</t>
        </is>
      </c>
      <c r="F105" s="232" t="inlineStr">
        <is>
          <t>N</t>
        </is>
      </c>
      <c r="G105" s="232" t="inlineStr">
        <is>
          <t>Y</t>
        </is>
      </c>
      <c r="H105" s="232" t="inlineStr">
        <is>
          <t>None</t>
        </is>
      </c>
      <c r="I105" s="232" t="inlineStr">
        <is>
          <t>N</t>
        </is>
      </c>
      <c r="J105" s="232" t="inlineStr">
        <is>
          <t>N</t>
        </is>
      </c>
      <c r="K105" s="232" t="inlineStr">
        <is>
          <t>N</t>
        </is>
      </c>
      <c r="L105" s="232" t="inlineStr">
        <is>
          <t>Y</t>
        </is>
      </c>
      <c r="M105" s="232" t="inlineStr">
        <is>
          <t>Standard</t>
        </is>
      </c>
      <c r="N105" s="232" t="n"/>
      <c r="O105" s="232" t="n"/>
      <c r="P105" s="232" t="inlineStr">
        <is>
          <t>N</t>
        </is>
      </c>
      <c r="Q105" s="232" t="n"/>
      <c r="R105" s="232" t="n"/>
      <c r="S105" s="232" t="n"/>
      <c r="T105" s="233" t="inlineStr">
        <is>
          <t>N</t>
        </is>
      </c>
      <c r="U105" s="227">
        <f>IF($B105="","",IF(AND($G105="Y",ISERROR(SEARCH(TEXT('Control Center'!$B$3,"ddd"),TRIM($D105)))),"Y","N"))</f>
        <v/>
      </c>
      <c r="V105" s="227">
        <f>IF($B105="","",IF(AND($U105="Y",OR($C105="3:45 AM",$C105="5:45 AM"),OR('Control Center'!$B$4="N",$K105&lt;&gt;"Y")),"Y","N"))</f>
        <v/>
      </c>
      <c r="W105" s="227">
        <f>IF($B105="","",IF(AND($U105="Y",OR($C105="12:15 PM",$C105="2:00 PM"),OR('Control Center'!$B$5="N",$K105&lt;&gt;"Y")),"Y","N"))</f>
        <v/>
      </c>
      <c r="X105" s="228" t="n"/>
      <c r="Y105" s="229" t="n"/>
      <c r="Z105" s="228" t="n"/>
      <c r="AA105" s="229" t="n"/>
      <c r="AB105" s="230">
        <f>IF($B105="","",IF($P105="Y",IF($Y105="Y","Completed","In Progress"),""))</f>
        <v/>
      </c>
      <c r="AC105" s="119">
        <f>IF($B105="","",IF(COUNTIFS('Approved Absences'!$A$2:$A$200,$B105,'Approved Absences'!$B$2:$B$200,"&lt;="&amp;INT('Control Center'!$B$3),'Approved Absences'!$C$2:$C$200,"&gt;="&amp;INT('Control Center'!$B$3))&gt;0,"Y","N"))</f>
        <v/>
      </c>
      <c r="AD105" s="119">
        <f>IF($B105="","",IF(AND($G105="Y",$AC105&lt;&gt;"Y",ISERROR(SEARCH(TEXT('Control Center'!$B$3,"ddd"),TRIM($D105)))),"Y","N"))</f>
        <v/>
      </c>
      <c r="AE105" s="119">
        <f>IF(AND(AD105="Y",C105="3:45 AM",E105="N",K105&lt;&gt;"Y"),COUNTIFS($AD$2:AD105,"Y",$C$2:C105,"3:45 AM",$E$2:E105,"N",$K$2:K105,"&lt;&gt;Y"),"")</f>
        <v/>
      </c>
      <c r="AF105" s="119">
        <f>IF(AND(AD105="Y",C105="5:45 AM",E105="N",K105&lt;&gt;"Y"),COUNTIFS($AD$2:AD105,"Y",$C$2:C105,"5:45 AM",$E$2:E105,"N",$K$2:K105,"&lt;&gt;Y"),"")</f>
        <v/>
      </c>
      <c r="AG105" s="119">
        <f>IF(AND(AD105="Y",C105="3:45 AM",E105="N",L105="Y",K105&lt;&gt;"Y"),COUNTIFS($AD$2:AD105,"Y",$C$2:C105,"3:45 AM",$E$2:E105,"N",$L$2:L105,"Y",$K$2:K105,"&lt;&gt;Y"),"")</f>
        <v/>
      </c>
      <c r="AH105" s="119">
        <f>IF(AND(AD105="Y",C105="5:45 AM",E105="N",L105="Y",K105&lt;&gt;"Y"),COUNTIFS($AD$2:AD105,"Y",$C$2:C105,"5:45 AM",$E$2:E105,"N",$L$2:L105,"Y",$K$2:K105,"&lt;&gt;Y"),"")</f>
        <v/>
      </c>
      <c r="AI105" s="119">
        <f>IF(AND(AD105="Y",E105="N",K105="Y",OR(C105="3:45 AM",C105="5:45 AM")),SUMPRODUCT(($AD$2:AD105="Y")*($E$2:E105="N")*($K$2:K105="Y")*(($C$2:C105="3:45 AM")+($C$2:C105="5:45 AM"))), "")</f>
        <v/>
      </c>
      <c r="AJ105" s="119">
        <f>IF(AND(AD105="Y",C105="3:45 AM",E105="N",J105="Y"),COUNTIFS($AD$2:AD105,"Y",$C$2:C105,"3:45 AM",$E$2:E105,"N",$J$2:J105,"Y"),"")</f>
        <v/>
      </c>
      <c r="AK105" s="119">
        <f>IF(AND(AD105="Y",E105="N",I105="Y",OR(C105="3:45 AM",C105="5:45 AM")),SUMPRODUCT(($AD$2:AD105="Y")*($E$2:E105="N")*($I$2:I105="Y")*(($C$2:C105="3:45 AM")+($C$2:C105="5:45 AM"))), "")</f>
        <v/>
      </c>
      <c r="AL105" s="119">
        <f>IF(AND(AD105="Y",C105="12:15 PM",E105="N",K105&lt;&gt;"Y"),COUNTIFS($AD$2:AD105,"Y",$C$2:C105,"12:15 PM",$E$2:E105,"N",$K$2:K105,"&lt;&gt;Y"),"")</f>
        <v/>
      </c>
      <c r="AM105" s="119">
        <f>IF(AND(AD105="Y",C105="2:00 PM",E105="N",K105&lt;&gt;"Y"),COUNTIFS($AD$2:AD105,"Y",$C$2:C105,"2:00 PM",$E$2:E105,"N",$K$2:K105,"&lt;&gt;Y"),"")</f>
        <v/>
      </c>
      <c r="AN105" s="119">
        <f>IF(AND(AD105="Y",E105="N",K105="Y",OR(C105="12:15 PM",C105="2:00 PM")),SUMPRODUCT(($AD$2:AD105="Y")*($E$2:E105="N")*($K$2:K105="Y")*(($C$2:C105="12:15 PM")+($C$2:C105="2:00 PM"))), "")</f>
        <v/>
      </c>
      <c r="AO105" s="119">
        <f>IF(AND(AD105="Y",C105="12:15 PM",E105="N",L105="Y"),COUNTIFS($AD$2:AD105,"Y",$C$2:C105,"12:15 PM",$E$2:E105,"N",$L$2:L105,"Y"),"")</f>
        <v/>
      </c>
      <c r="AP105" s="119">
        <f>IF(AND(AD105="Y",C105="2:00 PM",E105="N",L105="Y"),COUNTIFS($AD$2:AD105,"Y",$C$2:C105,"2:00 PM",$E$2:E105,"N",$L$2:L105,"Y"),"")</f>
        <v/>
      </c>
    </row>
    <row r="106" ht="14.25" customHeight="1" s="120">
      <c r="A106" s="231" t="inlineStr">
        <is>
          <t>EMP-0112</t>
        </is>
      </c>
      <c r="B106" s="232" t="inlineStr">
        <is>
          <t>Natasha Carbon</t>
        </is>
      </c>
      <c r="C106" s="232" t="inlineStr">
        <is>
          <t>3:45 AM</t>
        </is>
      </c>
      <c r="D106" s="232" t="inlineStr">
        <is>
          <t>Thu, Fri</t>
        </is>
      </c>
      <c r="E106" s="232" t="inlineStr">
        <is>
          <t>N</t>
        </is>
      </c>
      <c r="F106" s="232" t="inlineStr">
        <is>
          <t>N</t>
        </is>
      </c>
      <c r="G106" s="232" t="inlineStr">
        <is>
          <t>Y</t>
        </is>
      </c>
      <c r="H106" s="232" t="inlineStr">
        <is>
          <t>None</t>
        </is>
      </c>
      <c r="I106" s="232" t="inlineStr">
        <is>
          <t>N</t>
        </is>
      </c>
      <c r="J106" s="232" t="inlineStr">
        <is>
          <t>N</t>
        </is>
      </c>
      <c r="K106" s="232" t="inlineStr">
        <is>
          <t>N</t>
        </is>
      </c>
      <c r="L106" s="232" t="inlineStr">
        <is>
          <t>Y</t>
        </is>
      </c>
      <c r="M106" s="232" t="inlineStr">
        <is>
          <t>Standard</t>
        </is>
      </c>
      <c r="N106" s="232" t="n"/>
      <c r="O106" s="232" t="n"/>
      <c r="P106" s="232" t="inlineStr">
        <is>
          <t>N</t>
        </is>
      </c>
      <c r="Q106" s="232" t="n"/>
      <c r="R106" s="232" t="n"/>
      <c r="S106" s="232" t="n"/>
      <c r="T106" s="233" t="inlineStr">
        <is>
          <t>N</t>
        </is>
      </c>
      <c r="U106" s="227">
        <f>IF($B106="","",IF(AND($G106="Y",ISERROR(SEARCH(TEXT('Control Center'!$B$3,"ddd"),TRIM($D106)))),"Y","N"))</f>
        <v/>
      </c>
      <c r="V106" s="227">
        <f>IF($B106="","",IF(AND($U106="Y",OR($C106="3:45 AM",$C106="5:45 AM"),OR('Control Center'!$B$4="N",$K106&lt;&gt;"Y")),"Y","N"))</f>
        <v/>
      </c>
      <c r="W106" s="227">
        <f>IF($B106="","",IF(AND($U106="Y",OR($C106="12:15 PM",$C106="2:00 PM"),OR('Control Center'!$B$5="N",$K106&lt;&gt;"Y")),"Y","N"))</f>
        <v/>
      </c>
      <c r="X106" s="228" t="n"/>
      <c r="Y106" s="229" t="n"/>
      <c r="Z106" s="228" t="n"/>
      <c r="AA106" s="229" t="n"/>
      <c r="AB106" s="230">
        <f>IF($B106="","",IF($P106="Y",IF($Y106="Y","Completed","In Progress"),""))</f>
        <v/>
      </c>
      <c r="AC106" s="119">
        <f>IF($B106="","",IF(COUNTIFS('Approved Absences'!$A$2:$A$200,$B106,'Approved Absences'!$B$2:$B$200,"&lt;="&amp;INT('Control Center'!$B$3),'Approved Absences'!$C$2:$C$200,"&gt;="&amp;INT('Control Center'!$B$3))&gt;0,"Y","N"))</f>
        <v/>
      </c>
      <c r="AD106" s="119">
        <f>IF($B106="","",IF(AND($G106="Y",$AC106&lt;&gt;"Y",ISERROR(SEARCH(TEXT('Control Center'!$B$3,"ddd"),TRIM($D106)))),"Y","N"))</f>
        <v/>
      </c>
      <c r="AE106" s="119">
        <f>IF(AND(AD106="Y",C106="3:45 AM",E106="N",K106&lt;&gt;"Y"),COUNTIFS($AD$2:AD106,"Y",$C$2:C106,"3:45 AM",$E$2:E106,"N",$K$2:K106,"&lt;&gt;Y"),"")</f>
        <v/>
      </c>
      <c r="AF106" s="119">
        <f>IF(AND(AD106="Y",C106="5:45 AM",E106="N",K106&lt;&gt;"Y"),COUNTIFS($AD$2:AD106,"Y",$C$2:C106,"5:45 AM",$E$2:E106,"N",$K$2:K106,"&lt;&gt;Y"),"")</f>
        <v/>
      </c>
      <c r="AG106" s="119">
        <f>IF(AND(AD106="Y",C106="3:45 AM",E106="N",L106="Y",K106&lt;&gt;"Y"),COUNTIFS($AD$2:AD106,"Y",$C$2:C106,"3:45 AM",$E$2:E106,"N",$L$2:L106,"Y",$K$2:K106,"&lt;&gt;Y"),"")</f>
        <v/>
      </c>
      <c r="AH106" s="119">
        <f>IF(AND(AD106="Y",C106="5:45 AM",E106="N",L106="Y",K106&lt;&gt;"Y"),COUNTIFS($AD$2:AD106,"Y",$C$2:C106,"5:45 AM",$E$2:E106,"N",$L$2:L106,"Y",$K$2:K106,"&lt;&gt;Y"),"")</f>
        <v/>
      </c>
      <c r="AI106" s="119">
        <f>IF(AND(AD106="Y",E106="N",K106="Y",OR(C106="3:45 AM",C106="5:45 AM")),SUMPRODUCT(($AD$2:AD106="Y")*($E$2:E106="N")*($K$2:K106="Y")*(($C$2:C106="3:45 AM")+($C$2:C106="5:45 AM"))), "")</f>
        <v/>
      </c>
      <c r="AJ106" s="119">
        <f>IF(AND(AD106="Y",C106="3:45 AM",E106="N",J106="Y"),COUNTIFS($AD$2:AD106,"Y",$C$2:C106,"3:45 AM",$E$2:E106,"N",$J$2:J106,"Y"),"")</f>
        <v/>
      </c>
      <c r="AK106" s="119">
        <f>IF(AND(AD106="Y",E106="N",I106="Y",OR(C106="3:45 AM",C106="5:45 AM")),SUMPRODUCT(($AD$2:AD106="Y")*($E$2:E106="N")*($I$2:I106="Y")*(($C$2:C106="3:45 AM")+($C$2:C106="5:45 AM"))), "")</f>
        <v/>
      </c>
      <c r="AL106" s="119">
        <f>IF(AND(AD106="Y",C106="12:15 PM",E106="N",K106&lt;&gt;"Y"),COUNTIFS($AD$2:AD106,"Y",$C$2:C106,"12:15 PM",$E$2:E106,"N",$K$2:K106,"&lt;&gt;Y"),"")</f>
        <v/>
      </c>
      <c r="AM106" s="119">
        <f>IF(AND(AD106="Y",C106="2:00 PM",E106="N",K106&lt;&gt;"Y"),COUNTIFS($AD$2:AD106,"Y",$C$2:C106,"2:00 PM",$E$2:E106,"N",$K$2:K106,"&lt;&gt;Y"),"")</f>
        <v/>
      </c>
      <c r="AN106" s="119">
        <f>IF(AND(AD106="Y",E106="N",K106="Y",OR(C106="12:15 PM",C106="2:00 PM")),SUMPRODUCT(($AD$2:AD106="Y")*($E$2:E106="N")*($K$2:K106="Y")*(($C$2:C106="12:15 PM")+($C$2:C106="2:00 PM"))), "")</f>
        <v/>
      </c>
      <c r="AO106" s="119">
        <f>IF(AND(AD106="Y",C106="12:15 PM",E106="N",L106="Y"),COUNTIFS($AD$2:AD106,"Y",$C$2:C106,"12:15 PM",$E$2:E106,"N",$L$2:L106,"Y"),"")</f>
        <v/>
      </c>
      <c r="AP106" s="119">
        <f>IF(AND(AD106="Y",C106="2:00 PM",E106="N",L106="Y"),COUNTIFS($AD$2:AD106,"Y",$C$2:C106,"2:00 PM",$E$2:E106,"N",$L$2:L106,"Y"),"")</f>
        <v/>
      </c>
    </row>
    <row r="107" ht="14.25" customHeight="1" s="120">
      <c r="A107" s="231" t="inlineStr">
        <is>
          <t>EMP-0113</t>
        </is>
      </c>
      <c r="B107" s="232" t="inlineStr">
        <is>
          <t>Oumou Sane</t>
        </is>
      </c>
      <c r="C107" s="232" t="inlineStr">
        <is>
          <t>2:00 PM</t>
        </is>
      </c>
      <c r="D107" s="232" t="inlineStr">
        <is>
          <t>Mon, Tue</t>
        </is>
      </c>
      <c r="E107" s="232" t="inlineStr">
        <is>
          <t>N</t>
        </is>
      </c>
      <c r="F107" s="232" t="inlineStr">
        <is>
          <t>Y</t>
        </is>
      </c>
      <c r="G107" s="232" t="inlineStr">
        <is>
          <t>Y</t>
        </is>
      </c>
      <c r="H107" s="232" t="inlineStr">
        <is>
          <t>None</t>
        </is>
      </c>
      <c r="I107" s="232" t="inlineStr">
        <is>
          <t>N</t>
        </is>
      </c>
      <c r="J107" s="232" t="inlineStr">
        <is>
          <t>N</t>
        </is>
      </c>
      <c r="K107" s="232" t="inlineStr">
        <is>
          <t>Y</t>
        </is>
      </c>
      <c r="L107" s="232" t="inlineStr">
        <is>
          <t>Y</t>
        </is>
      </c>
      <c r="M107" s="232" t="inlineStr">
        <is>
          <t>Standard</t>
        </is>
      </c>
      <c r="N107" s="232" t="n"/>
      <c r="O107" s="232" t="n"/>
      <c r="P107" s="232" t="inlineStr">
        <is>
          <t>N</t>
        </is>
      </c>
      <c r="Q107" s="232" t="n"/>
      <c r="R107" s="232" t="n"/>
      <c r="S107" s="232" t="n"/>
      <c r="T107" s="233" t="inlineStr">
        <is>
          <t>N</t>
        </is>
      </c>
      <c r="U107" s="227">
        <f>IF($B107="","",IF(AND($G107="Y",ISERROR(SEARCH(TEXT('Control Center'!$B$3,"ddd"),TRIM($D107)))),"Y","N"))</f>
        <v/>
      </c>
      <c r="V107" s="227">
        <f>IF($B107="","",IF(AND($U107="Y",OR($C107="3:45 AM",$C107="5:45 AM"),OR('Control Center'!$B$4="N",$K107&lt;&gt;"Y")),"Y","N"))</f>
        <v/>
      </c>
      <c r="W107" s="227">
        <f>IF($B107="","",IF(AND($U107="Y",OR($C107="12:15 PM",$C107="2:00 PM"),OR('Control Center'!$B$5="N",$K107&lt;&gt;"Y")),"Y","N"))</f>
        <v/>
      </c>
      <c r="X107" s="228" t="n"/>
      <c r="Y107" s="229" t="n"/>
      <c r="Z107" s="228" t="n"/>
      <c r="AA107" s="229" t="n"/>
      <c r="AB107" s="230">
        <f>IF($B107="","",IF($P107="Y",IF($Y107="Y","Completed","In Progress"),""))</f>
        <v/>
      </c>
      <c r="AC107" s="119">
        <f>IF($B107="","",IF(COUNTIFS('Approved Absences'!$A$2:$A$200,$B107,'Approved Absences'!$B$2:$B$200,"&lt;="&amp;INT('Control Center'!$B$3),'Approved Absences'!$C$2:$C$200,"&gt;="&amp;INT('Control Center'!$B$3))&gt;0,"Y","N"))</f>
        <v/>
      </c>
      <c r="AD107" s="119">
        <f>IF($B107="","",IF(AND($G107="Y",$AC107&lt;&gt;"Y",ISERROR(SEARCH(TEXT('Control Center'!$B$3,"ddd"),TRIM($D107)))),"Y","N"))</f>
        <v/>
      </c>
      <c r="AE107" s="119">
        <f>IF(AND(AD107="Y",C107="3:45 AM",E107="N",K107&lt;&gt;"Y"),COUNTIFS($AD$2:AD107,"Y",$C$2:C107,"3:45 AM",$E$2:E107,"N",$K$2:K107,"&lt;&gt;Y"),"")</f>
        <v/>
      </c>
      <c r="AF107" s="119">
        <f>IF(AND(AD107="Y",C107="5:45 AM",E107="N",K107&lt;&gt;"Y"),COUNTIFS($AD$2:AD107,"Y",$C$2:C107,"5:45 AM",$E$2:E107,"N",$K$2:K107,"&lt;&gt;Y"),"")</f>
        <v/>
      </c>
      <c r="AG107" s="119">
        <f>IF(AND(AD107="Y",C107="3:45 AM",E107="N",L107="Y",K107&lt;&gt;"Y"),COUNTIFS($AD$2:AD107,"Y",$C$2:C107,"3:45 AM",$E$2:E107,"N",$L$2:L107,"Y",$K$2:K107,"&lt;&gt;Y"),"")</f>
        <v/>
      </c>
      <c r="AH107" s="119">
        <f>IF(AND(AD107="Y",C107="5:45 AM",E107="N",L107="Y",K107&lt;&gt;"Y"),COUNTIFS($AD$2:AD107,"Y",$C$2:C107,"5:45 AM",$E$2:E107,"N",$L$2:L107,"Y",$K$2:K107,"&lt;&gt;Y"),"")</f>
        <v/>
      </c>
      <c r="AI107" s="119">
        <f>IF(AND(AD107="Y",E107="N",K107="Y",OR(C107="3:45 AM",C107="5:45 AM")),SUMPRODUCT(($AD$2:AD107="Y")*($E$2:E107="N")*($K$2:K107="Y")*(($C$2:C107="3:45 AM")+($C$2:C107="5:45 AM"))), "")</f>
        <v/>
      </c>
      <c r="AJ107" s="119">
        <f>IF(AND(AD107="Y",C107="3:45 AM",E107="N",J107="Y"),COUNTIFS($AD$2:AD107,"Y",$C$2:C107,"3:45 AM",$E$2:E107,"N",$J$2:J107,"Y"),"")</f>
        <v/>
      </c>
      <c r="AK107" s="119">
        <f>IF(AND(AD107="Y",E107="N",I107="Y",OR(C107="3:45 AM",C107="5:45 AM")),SUMPRODUCT(($AD$2:AD107="Y")*($E$2:E107="N")*($I$2:I107="Y")*(($C$2:C107="3:45 AM")+($C$2:C107="5:45 AM"))), "")</f>
        <v/>
      </c>
      <c r="AL107" s="119">
        <f>IF(AND(AD107="Y",C107="12:15 PM",E107="N",K107&lt;&gt;"Y"),COUNTIFS($AD$2:AD107,"Y",$C$2:C107,"12:15 PM",$E$2:E107,"N",$K$2:K107,"&lt;&gt;Y"),"")</f>
        <v/>
      </c>
      <c r="AM107" s="119">
        <f>IF(AND(AD107="Y",C107="2:00 PM",E107="N",K107&lt;&gt;"Y"),COUNTIFS($AD$2:AD107,"Y",$C$2:C107,"2:00 PM",$E$2:E107,"N",$K$2:K107,"&lt;&gt;Y"),"")</f>
        <v/>
      </c>
      <c r="AN107" s="119">
        <f>IF(AND(AD107="Y",E107="N",K107="Y",OR(C107="12:15 PM",C107="2:00 PM")),SUMPRODUCT(($AD$2:AD107="Y")*($E$2:E107="N")*($K$2:K107="Y")*(($C$2:C107="12:15 PM")+($C$2:C107="2:00 PM"))), "")</f>
        <v/>
      </c>
      <c r="AO107" s="119">
        <f>IF(AND(AD107="Y",C107="12:15 PM",E107="N",L107="Y"),COUNTIFS($AD$2:AD107,"Y",$C$2:C107,"12:15 PM",$E$2:E107,"N",$L$2:L107,"Y"),"")</f>
        <v/>
      </c>
      <c r="AP107" s="119">
        <f>IF(AND(AD107="Y",C107="2:00 PM",E107="N",L107="Y"),COUNTIFS($AD$2:AD107,"Y",$C$2:C107,"2:00 PM",$E$2:E107,"N",$L$2:L107,"Y"),"")</f>
        <v/>
      </c>
    </row>
    <row r="108" ht="14.25" customHeight="1" s="120">
      <c r="A108" s="231" t="inlineStr">
        <is>
          <t>EMP-0114</t>
        </is>
      </c>
      <c r="B108" s="232" t="inlineStr">
        <is>
          <t>Patrick Chin</t>
        </is>
      </c>
      <c r="C108" s="232" t="inlineStr">
        <is>
          <t>12:15 PM</t>
        </is>
      </c>
      <c r="D108" s="232" t="inlineStr">
        <is>
          <t>Sun, Mon</t>
        </is>
      </c>
      <c r="E108" s="232" t="inlineStr">
        <is>
          <t>N</t>
        </is>
      </c>
      <c r="F108" s="232" t="inlineStr">
        <is>
          <t>N</t>
        </is>
      </c>
      <c r="G108" s="232" t="inlineStr">
        <is>
          <t>Y</t>
        </is>
      </c>
      <c r="H108" s="232" t="inlineStr">
        <is>
          <t>5:00 PM</t>
        </is>
      </c>
      <c r="I108" s="232" t="inlineStr">
        <is>
          <t>N</t>
        </is>
      </c>
      <c r="J108" s="232" t="inlineStr">
        <is>
          <t>Y</t>
        </is>
      </c>
      <c r="K108" s="232" t="inlineStr">
        <is>
          <t>N</t>
        </is>
      </c>
      <c r="L108" s="232" t="inlineStr">
        <is>
          <t>Y</t>
        </is>
      </c>
      <c r="M108" s="232" t="inlineStr">
        <is>
          <t>Standard</t>
        </is>
      </c>
      <c r="N108" s="232" t="n"/>
      <c r="O108" s="232" t="n"/>
      <c r="P108" s="232" t="inlineStr">
        <is>
          <t>N</t>
        </is>
      </c>
      <c r="Q108" s="232" t="n"/>
      <c r="R108" s="232" t="n"/>
      <c r="S108" s="232" t="n"/>
      <c r="T108" s="233" t="inlineStr">
        <is>
          <t>N</t>
        </is>
      </c>
      <c r="U108" s="227">
        <f>IF($B108="","",IF(AND($G108="Y",ISERROR(SEARCH(TEXT('Control Center'!$B$3,"ddd"),TRIM($D108)))),"Y","N"))</f>
        <v/>
      </c>
      <c r="V108" s="227">
        <f>IF($B108="","",IF(AND($U108="Y",OR($C108="3:45 AM",$C108="5:45 AM"),OR('Control Center'!$B$4="N",$K108&lt;&gt;"Y")),"Y","N"))</f>
        <v/>
      </c>
      <c r="W108" s="227">
        <f>IF($B108="","",IF(AND($U108="Y",OR($C108="12:15 PM",$C108="2:00 PM"),OR('Control Center'!$B$5="N",$K108&lt;&gt;"Y")),"Y","N"))</f>
        <v/>
      </c>
      <c r="X108" s="228" t="n"/>
      <c r="Y108" s="229" t="n"/>
      <c r="Z108" s="228" t="n"/>
      <c r="AA108" s="229" t="n"/>
      <c r="AB108" s="230">
        <f>IF($B108="","",IF($P108="Y",IF($Y108="Y","Completed","In Progress"),""))</f>
        <v/>
      </c>
      <c r="AC108" s="119">
        <f>IF($B108="","",IF(COUNTIFS('Approved Absences'!$A$2:$A$200,$B108,'Approved Absences'!$B$2:$B$200,"&lt;="&amp;INT('Control Center'!$B$3),'Approved Absences'!$C$2:$C$200,"&gt;="&amp;INT('Control Center'!$B$3))&gt;0,"Y","N"))</f>
        <v/>
      </c>
      <c r="AD108" s="119">
        <f>IF($B108="","",IF(AND($G108="Y",$AC108&lt;&gt;"Y",ISERROR(SEARCH(TEXT('Control Center'!$B$3,"ddd"),TRIM($D108)))),"Y","N"))</f>
        <v/>
      </c>
      <c r="AE108" s="119">
        <f>IF(AND(AD108="Y",C108="3:45 AM",E108="N",K108&lt;&gt;"Y"),COUNTIFS($AD$2:AD108,"Y",$C$2:C108,"3:45 AM",$E$2:E108,"N",$K$2:K108,"&lt;&gt;Y"),"")</f>
        <v/>
      </c>
      <c r="AF108" s="119">
        <f>IF(AND(AD108="Y",C108="5:45 AM",E108="N",K108&lt;&gt;"Y"),COUNTIFS($AD$2:AD108,"Y",$C$2:C108,"5:45 AM",$E$2:E108,"N",$K$2:K108,"&lt;&gt;Y"),"")</f>
        <v/>
      </c>
      <c r="AG108" s="119">
        <f>IF(AND(AD108="Y",C108="3:45 AM",E108="N",L108="Y",K108&lt;&gt;"Y"),COUNTIFS($AD$2:AD108,"Y",$C$2:C108,"3:45 AM",$E$2:E108,"N",$L$2:L108,"Y",$K$2:K108,"&lt;&gt;Y"),"")</f>
        <v/>
      </c>
      <c r="AH108" s="119">
        <f>IF(AND(AD108="Y",C108="5:45 AM",E108="N",L108="Y",K108&lt;&gt;"Y"),COUNTIFS($AD$2:AD108,"Y",$C$2:C108,"5:45 AM",$E$2:E108,"N",$L$2:L108,"Y",$K$2:K108,"&lt;&gt;Y"),"")</f>
        <v/>
      </c>
      <c r="AI108" s="119">
        <f>IF(AND(AD108="Y",E108="N",K108="Y",OR(C108="3:45 AM",C108="5:45 AM")),SUMPRODUCT(($AD$2:AD108="Y")*($E$2:E108="N")*($K$2:K108="Y")*(($C$2:C108="3:45 AM")+($C$2:C108="5:45 AM"))), "")</f>
        <v/>
      </c>
      <c r="AJ108" s="119">
        <f>IF(AND(AD108="Y",C108="3:45 AM",E108="N",J108="Y"),COUNTIFS($AD$2:AD108,"Y",$C$2:C108,"3:45 AM",$E$2:E108,"N",$J$2:J108,"Y"),"")</f>
        <v/>
      </c>
      <c r="AK108" s="119">
        <f>IF(AND(AD108="Y",E108="N",I108="Y",OR(C108="3:45 AM",C108="5:45 AM")),SUMPRODUCT(($AD$2:AD108="Y")*($E$2:E108="N")*($I$2:I108="Y")*(($C$2:C108="3:45 AM")+($C$2:C108="5:45 AM"))), "")</f>
        <v/>
      </c>
      <c r="AL108" s="119">
        <f>IF(AND(AD108="Y",C108="12:15 PM",E108="N",K108&lt;&gt;"Y"),COUNTIFS($AD$2:AD108,"Y",$C$2:C108,"12:15 PM",$E$2:E108,"N",$K$2:K108,"&lt;&gt;Y"),"")</f>
        <v/>
      </c>
      <c r="AM108" s="119">
        <f>IF(AND(AD108="Y",C108="2:00 PM",E108="N",K108&lt;&gt;"Y"),COUNTIFS($AD$2:AD108,"Y",$C$2:C108,"2:00 PM",$E$2:E108,"N",$K$2:K108,"&lt;&gt;Y"),"")</f>
        <v/>
      </c>
      <c r="AN108" s="119">
        <f>IF(AND(AD108="Y",E108="N",K108="Y",OR(C108="12:15 PM",C108="2:00 PM")),SUMPRODUCT(($AD$2:AD108="Y")*($E$2:E108="N")*($K$2:K108="Y")*(($C$2:C108="12:15 PM")+($C$2:C108="2:00 PM"))), "")</f>
        <v/>
      </c>
      <c r="AO108" s="119">
        <f>IF(AND(AD108="Y",C108="12:15 PM",E108="N",L108="Y"),COUNTIFS($AD$2:AD108,"Y",$C$2:C108,"12:15 PM",$E$2:E108,"N",$L$2:L108,"Y"),"")</f>
        <v/>
      </c>
      <c r="AP108" s="119">
        <f>IF(AND(AD108="Y",C108="2:00 PM",E108="N",L108="Y"),COUNTIFS($AD$2:AD108,"Y",$C$2:C108,"2:00 PM",$E$2:E108,"N",$L$2:L108,"Y"),"")</f>
        <v/>
      </c>
    </row>
    <row r="109" ht="14.25" customHeight="1" s="120">
      <c r="A109" s="231" t="inlineStr">
        <is>
          <t>EMP-0115</t>
        </is>
      </c>
      <c r="B109" s="232" t="inlineStr">
        <is>
          <t>Paulette Laman</t>
        </is>
      </c>
      <c r="C109" s="232" t="inlineStr">
        <is>
          <t>2:00 PM</t>
        </is>
      </c>
      <c r="D109" s="232" t="inlineStr">
        <is>
          <t>Sun, Mon</t>
        </is>
      </c>
      <c r="E109" s="232" t="inlineStr">
        <is>
          <t>N</t>
        </is>
      </c>
      <c r="F109" s="232" t="inlineStr">
        <is>
          <t>N</t>
        </is>
      </c>
      <c r="G109" s="232" t="inlineStr">
        <is>
          <t>Y</t>
        </is>
      </c>
      <c r="H109" s="232" t="inlineStr">
        <is>
          <t>6:00 PM</t>
        </is>
      </c>
      <c r="I109" s="232" t="inlineStr">
        <is>
          <t>N</t>
        </is>
      </c>
      <c r="J109" s="232" t="inlineStr">
        <is>
          <t>Y</t>
        </is>
      </c>
      <c r="K109" s="232" t="inlineStr">
        <is>
          <t>N</t>
        </is>
      </c>
      <c r="L109" s="232" t="inlineStr">
        <is>
          <t>Y</t>
        </is>
      </c>
      <c r="M109" s="232" t="inlineStr">
        <is>
          <t>Standard</t>
        </is>
      </c>
      <c r="N109" s="232" t="n"/>
      <c r="O109" s="232" t="n"/>
      <c r="P109" s="232" t="inlineStr">
        <is>
          <t>N</t>
        </is>
      </c>
      <c r="Q109" s="232" t="n"/>
      <c r="R109" s="232" t="n"/>
      <c r="S109" s="232" t="n"/>
      <c r="T109" s="233" t="inlineStr">
        <is>
          <t>N</t>
        </is>
      </c>
      <c r="U109" s="227">
        <f>IF($B109="","",IF(AND($G109="Y",ISERROR(SEARCH(TEXT('Control Center'!$B$3,"ddd"),TRIM($D109)))),"Y","N"))</f>
        <v/>
      </c>
      <c r="V109" s="227">
        <f>IF($B109="","",IF(AND($U109="Y",OR($C109="3:45 AM",$C109="5:45 AM"),OR('Control Center'!$B$4="N",$K109&lt;&gt;"Y")),"Y","N"))</f>
        <v/>
      </c>
      <c r="W109" s="227">
        <f>IF($B109="","",IF(AND($U109="Y",OR($C109="12:15 PM",$C109="2:00 PM"),OR('Control Center'!$B$5="N",$K109&lt;&gt;"Y")),"Y","N"))</f>
        <v/>
      </c>
      <c r="X109" s="228" t="n"/>
      <c r="Y109" s="229" t="n"/>
      <c r="Z109" s="228" t="n"/>
      <c r="AA109" s="229" t="n"/>
      <c r="AB109" s="230">
        <f>IF($B109="","",IF($P109="Y",IF($Y109="Y","Completed","In Progress"),""))</f>
        <v/>
      </c>
      <c r="AC109" s="119">
        <f>IF($B109="","",IF(COUNTIFS('Approved Absences'!$A$2:$A$200,$B109,'Approved Absences'!$B$2:$B$200,"&lt;="&amp;INT('Control Center'!$B$3),'Approved Absences'!$C$2:$C$200,"&gt;="&amp;INT('Control Center'!$B$3))&gt;0,"Y","N"))</f>
        <v/>
      </c>
      <c r="AD109" s="119">
        <f>IF($B109="","",IF(AND($G109="Y",$AC109&lt;&gt;"Y",ISERROR(SEARCH(TEXT('Control Center'!$B$3,"ddd"),TRIM($D109)))),"Y","N"))</f>
        <v/>
      </c>
      <c r="AE109" s="119">
        <f>IF(AND(AD109="Y",C109="3:45 AM",E109="N",K109&lt;&gt;"Y"),COUNTIFS($AD$2:AD109,"Y",$C$2:C109,"3:45 AM",$E$2:E109,"N",$K$2:K109,"&lt;&gt;Y"),"")</f>
        <v/>
      </c>
      <c r="AF109" s="119">
        <f>IF(AND(AD109="Y",C109="5:45 AM",E109="N",K109&lt;&gt;"Y"),COUNTIFS($AD$2:AD109,"Y",$C$2:C109,"5:45 AM",$E$2:E109,"N",$K$2:K109,"&lt;&gt;Y"),"")</f>
        <v/>
      </c>
      <c r="AG109" s="119">
        <f>IF(AND(AD109="Y",C109="3:45 AM",E109="N",L109="Y",K109&lt;&gt;"Y"),COUNTIFS($AD$2:AD109,"Y",$C$2:C109,"3:45 AM",$E$2:E109,"N",$L$2:L109,"Y",$K$2:K109,"&lt;&gt;Y"),"")</f>
        <v/>
      </c>
      <c r="AH109" s="119">
        <f>IF(AND(AD109="Y",C109="5:45 AM",E109="N",L109="Y",K109&lt;&gt;"Y"),COUNTIFS($AD$2:AD109,"Y",$C$2:C109,"5:45 AM",$E$2:E109,"N",$L$2:L109,"Y",$K$2:K109,"&lt;&gt;Y"),"")</f>
        <v/>
      </c>
      <c r="AI109" s="119">
        <f>IF(AND(AD109="Y",E109="N",K109="Y",OR(C109="3:45 AM",C109="5:45 AM")),SUMPRODUCT(($AD$2:AD109="Y")*($E$2:E109="N")*($K$2:K109="Y")*(($C$2:C109="3:45 AM")+($C$2:C109="5:45 AM"))), "")</f>
        <v/>
      </c>
      <c r="AJ109" s="119">
        <f>IF(AND(AD109="Y",C109="3:45 AM",E109="N",J109="Y"),COUNTIFS($AD$2:AD109,"Y",$C$2:C109,"3:45 AM",$E$2:E109,"N",$J$2:J109,"Y"),"")</f>
        <v/>
      </c>
      <c r="AK109" s="119">
        <f>IF(AND(AD109="Y",E109="N",I109="Y",OR(C109="3:45 AM",C109="5:45 AM")),SUMPRODUCT(($AD$2:AD109="Y")*($E$2:E109="N")*($I$2:I109="Y")*(($C$2:C109="3:45 AM")+($C$2:C109="5:45 AM"))), "")</f>
        <v/>
      </c>
      <c r="AL109" s="119">
        <f>IF(AND(AD109="Y",C109="12:15 PM",E109="N",K109&lt;&gt;"Y"),COUNTIFS($AD$2:AD109,"Y",$C$2:C109,"12:15 PM",$E$2:E109,"N",$K$2:K109,"&lt;&gt;Y"),"")</f>
        <v/>
      </c>
      <c r="AM109" s="119">
        <f>IF(AND(AD109="Y",C109="2:00 PM",E109="N",K109&lt;&gt;"Y"),COUNTIFS($AD$2:AD109,"Y",$C$2:C109,"2:00 PM",$E$2:E109,"N",$K$2:K109,"&lt;&gt;Y"),"")</f>
        <v/>
      </c>
      <c r="AN109" s="119">
        <f>IF(AND(AD109="Y",E109="N",K109="Y",OR(C109="12:15 PM",C109="2:00 PM")),SUMPRODUCT(($AD$2:AD109="Y")*($E$2:E109="N")*($K$2:K109="Y")*(($C$2:C109="12:15 PM")+($C$2:C109="2:00 PM"))), "")</f>
        <v/>
      </c>
      <c r="AO109" s="119">
        <f>IF(AND(AD109="Y",C109="12:15 PM",E109="N",L109="Y"),COUNTIFS($AD$2:AD109,"Y",$C$2:C109,"12:15 PM",$E$2:E109,"N",$L$2:L109,"Y"),"")</f>
        <v/>
      </c>
      <c r="AP109" s="119">
        <f>IF(AND(AD109="Y",C109="2:00 PM",E109="N",L109="Y"),COUNTIFS($AD$2:AD109,"Y",$C$2:C109,"2:00 PM",$E$2:E109,"N",$L$2:L109,"Y"),"")</f>
        <v/>
      </c>
    </row>
    <row r="110" ht="14.25" customHeight="1" s="120">
      <c r="A110" s="231" t="inlineStr">
        <is>
          <t>EMP-0116</t>
        </is>
      </c>
      <c r="B110" s="232" t="inlineStr">
        <is>
          <t>Phenica Peterson</t>
        </is>
      </c>
      <c r="C110" s="232" t="inlineStr">
        <is>
          <t>3:45 AM</t>
        </is>
      </c>
      <c r="D110" s="232" t="inlineStr">
        <is>
          <t>Sun, Mon</t>
        </is>
      </c>
      <c r="E110" s="232" t="inlineStr">
        <is>
          <t>N</t>
        </is>
      </c>
      <c r="F110" s="232" t="inlineStr">
        <is>
          <t>N</t>
        </is>
      </c>
      <c r="G110" s="232" t="inlineStr">
        <is>
          <t>Y</t>
        </is>
      </c>
      <c r="H110" s="232" t="inlineStr">
        <is>
          <t>None</t>
        </is>
      </c>
      <c r="I110" s="232" t="inlineStr">
        <is>
          <t>N</t>
        </is>
      </c>
      <c r="J110" s="232" t="inlineStr">
        <is>
          <t>Y</t>
        </is>
      </c>
      <c r="K110" s="232" t="inlineStr">
        <is>
          <t>N</t>
        </is>
      </c>
      <c r="L110" s="232" t="inlineStr">
        <is>
          <t>Y</t>
        </is>
      </c>
      <c r="M110" s="232" t="inlineStr">
        <is>
          <t>Standard</t>
        </is>
      </c>
      <c r="N110" s="232" t="n"/>
      <c r="O110" s="232" t="n"/>
      <c r="P110" s="232" t="inlineStr">
        <is>
          <t>N</t>
        </is>
      </c>
      <c r="Q110" s="232" t="n"/>
      <c r="R110" s="232" t="n"/>
      <c r="S110" s="232" t="n"/>
      <c r="T110" s="233" t="inlineStr">
        <is>
          <t>N</t>
        </is>
      </c>
      <c r="U110" s="227">
        <f>IF($B110="","",IF(AND($G110="Y",ISERROR(SEARCH(TEXT('Control Center'!$B$3,"ddd"),TRIM($D110)))),"Y","N"))</f>
        <v/>
      </c>
      <c r="V110" s="227">
        <f>IF($B110="","",IF(AND($U110="Y",OR($C110="3:45 AM",$C110="5:45 AM"),OR('Control Center'!$B$4="N",$K110&lt;&gt;"Y")),"Y","N"))</f>
        <v/>
      </c>
      <c r="W110" s="227">
        <f>IF($B110="","",IF(AND($U110="Y",OR($C110="12:15 PM",$C110="2:00 PM"),OR('Control Center'!$B$5="N",$K110&lt;&gt;"Y")),"Y","N"))</f>
        <v/>
      </c>
      <c r="X110" s="228" t="n"/>
      <c r="Y110" s="229" t="n"/>
      <c r="Z110" s="228" t="n"/>
      <c r="AA110" s="229" t="n"/>
      <c r="AB110" s="230">
        <f>IF($B110="","",IF($P110="Y",IF($Y110="Y","Completed","In Progress"),""))</f>
        <v/>
      </c>
      <c r="AC110" s="119">
        <f>IF($B110="","",IF(COUNTIFS('Approved Absences'!$A$2:$A$200,$B110,'Approved Absences'!$B$2:$B$200,"&lt;="&amp;INT('Control Center'!$B$3),'Approved Absences'!$C$2:$C$200,"&gt;="&amp;INT('Control Center'!$B$3))&gt;0,"Y","N"))</f>
        <v/>
      </c>
      <c r="AD110" s="119">
        <f>IF($B110="","",IF(AND($G110="Y",$AC110&lt;&gt;"Y",ISERROR(SEARCH(TEXT('Control Center'!$B$3,"ddd"),TRIM($D110)))),"Y","N"))</f>
        <v/>
      </c>
      <c r="AE110" s="119">
        <f>IF(AND(AD110="Y",C110="3:45 AM",E110="N",K110&lt;&gt;"Y"),COUNTIFS($AD$2:AD110,"Y",$C$2:C110,"3:45 AM",$E$2:E110,"N",$K$2:K110,"&lt;&gt;Y"),"")</f>
        <v/>
      </c>
      <c r="AF110" s="119">
        <f>IF(AND(AD110="Y",C110="5:45 AM",E110="N",K110&lt;&gt;"Y"),COUNTIFS($AD$2:AD110,"Y",$C$2:C110,"5:45 AM",$E$2:E110,"N",$K$2:K110,"&lt;&gt;Y"),"")</f>
        <v/>
      </c>
      <c r="AG110" s="119">
        <f>IF(AND(AD110="Y",C110="3:45 AM",E110="N",L110="Y",K110&lt;&gt;"Y"),COUNTIFS($AD$2:AD110,"Y",$C$2:C110,"3:45 AM",$E$2:E110,"N",$L$2:L110,"Y",$K$2:K110,"&lt;&gt;Y"),"")</f>
        <v/>
      </c>
      <c r="AH110" s="119">
        <f>IF(AND(AD110="Y",C110="5:45 AM",E110="N",L110="Y",K110&lt;&gt;"Y"),COUNTIFS($AD$2:AD110,"Y",$C$2:C110,"5:45 AM",$E$2:E110,"N",$L$2:L110,"Y",$K$2:K110,"&lt;&gt;Y"),"")</f>
        <v/>
      </c>
      <c r="AI110" s="119">
        <f>IF(AND(AD110="Y",E110="N",K110="Y",OR(C110="3:45 AM",C110="5:45 AM")),SUMPRODUCT(($AD$2:AD110="Y")*($E$2:E110="N")*($K$2:K110="Y")*(($C$2:C110="3:45 AM")+($C$2:C110="5:45 AM"))), "")</f>
        <v/>
      </c>
      <c r="AJ110" s="119">
        <f>IF(AND(AD110="Y",C110="3:45 AM",E110="N",J110="Y"),COUNTIFS($AD$2:AD110,"Y",$C$2:C110,"3:45 AM",$E$2:E110,"N",$J$2:J110,"Y"),"")</f>
        <v/>
      </c>
      <c r="AK110" s="119">
        <f>IF(AND(AD110="Y",E110="N",I110="Y",OR(C110="3:45 AM",C110="5:45 AM")),SUMPRODUCT(($AD$2:AD110="Y")*($E$2:E110="N")*($I$2:I110="Y")*(($C$2:C110="3:45 AM")+($C$2:C110="5:45 AM"))), "")</f>
        <v/>
      </c>
      <c r="AL110" s="119">
        <f>IF(AND(AD110="Y",C110="12:15 PM",E110="N",K110&lt;&gt;"Y"),COUNTIFS($AD$2:AD110,"Y",$C$2:C110,"12:15 PM",$E$2:E110,"N",$K$2:K110,"&lt;&gt;Y"),"")</f>
        <v/>
      </c>
      <c r="AM110" s="119">
        <f>IF(AND(AD110="Y",C110="2:00 PM",E110="N",K110&lt;&gt;"Y"),COUNTIFS($AD$2:AD110,"Y",$C$2:C110,"2:00 PM",$E$2:E110,"N",$K$2:K110,"&lt;&gt;Y"),"")</f>
        <v/>
      </c>
      <c r="AN110" s="119">
        <f>IF(AND(AD110="Y",E110="N",K110="Y",OR(C110="12:15 PM",C110="2:00 PM")),SUMPRODUCT(($AD$2:AD110="Y")*($E$2:E110="N")*($K$2:K110="Y")*(($C$2:C110="12:15 PM")+($C$2:C110="2:00 PM"))), "")</f>
        <v/>
      </c>
      <c r="AO110" s="119">
        <f>IF(AND(AD110="Y",C110="12:15 PM",E110="N",L110="Y"),COUNTIFS($AD$2:AD110,"Y",$C$2:C110,"12:15 PM",$E$2:E110,"N",$L$2:L110,"Y"),"")</f>
        <v/>
      </c>
      <c r="AP110" s="119">
        <f>IF(AND(AD110="Y",C110="2:00 PM",E110="N",L110="Y"),COUNTIFS($AD$2:AD110,"Y",$C$2:C110,"2:00 PM",$E$2:E110,"N",$L$2:L110,"Y"),"")</f>
        <v/>
      </c>
    </row>
    <row r="111" ht="14.25" customHeight="1" s="120">
      <c r="A111" s="231" t="inlineStr">
        <is>
          <t>EMP-0118</t>
        </is>
      </c>
      <c r="B111" s="232" t="inlineStr">
        <is>
          <t>Princess Vance</t>
        </is>
      </c>
      <c r="C111" s="232" t="inlineStr">
        <is>
          <t>2:00 PM</t>
        </is>
      </c>
      <c r="D111" s="232" t="inlineStr">
        <is>
          <t>Tue, Wed</t>
        </is>
      </c>
      <c r="E111" s="232" t="inlineStr">
        <is>
          <t>N</t>
        </is>
      </c>
      <c r="F111" s="232" t="inlineStr">
        <is>
          <t>N</t>
        </is>
      </c>
      <c r="G111" s="232" t="inlineStr">
        <is>
          <t>Y</t>
        </is>
      </c>
      <c r="H111" s="232" t="inlineStr">
        <is>
          <t>None</t>
        </is>
      </c>
      <c r="I111" s="232" t="inlineStr">
        <is>
          <t>N</t>
        </is>
      </c>
      <c r="J111" s="232" t="inlineStr">
        <is>
          <t>Y</t>
        </is>
      </c>
      <c r="K111" s="232" t="inlineStr">
        <is>
          <t>N</t>
        </is>
      </c>
      <c r="L111" s="232" t="inlineStr">
        <is>
          <t>Y</t>
        </is>
      </c>
      <c r="M111" s="232" t="inlineStr">
        <is>
          <t>Standard</t>
        </is>
      </c>
      <c r="N111" s="232" t="n"/>
      <c r="O111" s="232" t="n"/>
      <c r="P111" s="232" t="inlineStr">
        <is>
          <t>N</t>
        </is>
      </c>
      <c r="Q111" s="232" t="n"/>
      <c r="R111" s="232" t="n"/>
      <c r="S111" s="232" t="n"/>
      <c r="T111" s="233" t="inlineStr">
        <is>
          <t>N</t>
        </is>
      </c>
      <c r="U111" s="227">
        <f>IF($B111="","",IF(AND($G111="Y",ISERROR(SEARCH(TEXT('Control Center'!$B$3,"ddd"),TRIM($D111)))),"Y","N"))</f>
        <v/>
      </c>
      <c r="V111" s="227">
        <f>IF($B111="","",IF(AND($U111="Y",OR($C111="3:45 AM",$C111="5:45 AM"),OR('Control Center'!$B$4="N",$K111&lt;&gt;"Y")),"Y","N"))</f>
        <v/>
      </c>
      <c r="W111" s="227">
        <f>IF($B111="","",IF(AND($U111="Y",OR($C111="12:15 PM",$C111="2:00 PM"),OR('Control Center'!$B$5="N",$K111&lt;&gt;"Y")),"Y","N"))</f>
        <v/>
      </c>
      <c r="X111" s="228" t="n"/>
      <c r="Y111" s="229" t="n"/>
      <c r="Z111" s="228" t="n"/>
      <c r="AA111" s="229" t="n"/>
      <c r="AB111" s="230">
        <f>IF($B111="","",IF($P111="Y",IF($Y111="Y","Completed","In Progress"),""))</f>
        <v/>
      </c>
      <c r="AC111" s="119">
        <f>IF($B111="","",IF(COUNTIFS('Approved Absences'!$A$2:$A$200,$B111,'Approved Absences'!$B$2:$B$200,"&lt;="&amp;INT('Control Center'!$B$3),'Approved Absences'!$C$2:$C$200,"&gt;="&amp;INT('Control Center'!$B$3))&gt;0,"Y","N"))</f>
        <v/>
      </c>
      <c r="AD111" s="119">
        <f>IF($B111="","",IF(AND($G111="Y",$AC111&lt;&gt;"Y",ISERROR(SEARCH(TEXT('Control Center'!$B$3,"ddd"),TRIM($D111)))),"Y","N"))</f>
        <v/>
      </c>
      <c r="AE111" s="119">
        <f>IF(AND(AD111="Y",C111="3:45 AM",E111="N",K111&lt;&gt;"Y"),COUNTIFS($AD$2:AD111,"Y",$C$2:C111,"3:45 AM",$E$2:E111,"N",$K$2:K111,"&lt;&gt;Y"),"")</f>
        <v/>
      </c>
      <c r="AF111" s="119">
        <f>IF(AND(AD111="Y",C111="5:45 AM",E111="N",K111&lt;&gt;"Y"),COUNTIFS($AD$2:AD111,"Y",$C$2:C111,"5:45 AM",$E$2:E111,"N",$K$2:K111,"&lt;&gt;Y"),"")</f>
        <v/>
      </c>
      <c r="AG111" s="119">
        <f>IF(AND(AD111="Y",C111="3:45 AM",E111="N",L111="Y",K111&lt;&gt;"Y"),COUNTIFS($AD$2:AD111,"Y",$C$2:C111,"3:45 AM",$E$2:E111,"N",$L$2:L111,"Y",$K$2:K111,"&lt;&gt;Y"),"")</f>
        <v/>
      </c>
      <c r="AH111" s="119">
        <f>IF(AND(AD111="Y",C111="5:45 AM",E111="N",L111="Y",K111&lt;&gt;"Y"),COUNTIFS($AD$2:AD111,"Y",$C$2:C111,"5:45 AM",$E$2:E111,"N",$L$2:L111,"Y",$K$2:K111,"&lt;&gt;Y"),"")</f>
        <v/>
      </c>
      <c r="AI111" s="119">
        <f>IF(AND(AD111="Y",E111="N",K111="Y",OR(C111="3:45 AM",C111="5:45 AM")),SUMPRODUCT(($AD$2:AD111="Y")*($E$2:E111="N")*($K$2:K111="Y")*(($C$2:C111="3:45 AM")+($C$2:C111="5:45 AM"))), "")</f>
        <v/>
      </c>
      <c r="AJ111" s="119">
        <f>IF(AND(AD111="Y",C111="3:45 AM",E111="N",J111="Y"),COUNTIFS($AD$2:AD111,"Y",$C$2:C111,"3:45 AM",$E$2:E111,"N",$J$2:J111,"Y"),"")</f>
        <v/>
      </c>
      <c r="AK111" s="119">
        <f>IF(AND(AD111="Y",E111="N",I111="Y",OR(C111="3:45 AM",C111="5:45 AM")),SUMPRODUCT(($AD$2:AD111="Y")*($E$2:E111="N")*($I$2:I111="Y")*(($C$2:C111="3:45 AM")+($C$2:C111="5:45 AM"))), "")</f>
        <v/>
      </c>
      <c r="AL111" s="119">
        <f>IF(AND(AD111="Y",C111="12:15 PM",E111="N",K111&lt;&gt;"Y"),COUNTIFS($AD$2:AD111,"Y",$C$2:C111,"12:15 PM",$E$2:E111,"N",$K$2:K111,"&lt;&gt;Y"),"")</f>
        <v/>
      </c>
      <c r="AM111" s="119">
        <f>IF(AND(AD111="Y",C111="2:00 PM",E111="N",K111&lt;&gt;"Y"),COUNTIFS($AD$2:AD111,"Y",$C$2:C111,"2:00 PM",$E$2:E111,"N",$K$2:K111,"&lt;&gt;Y"),"")</f>
        <v/>
      </c>
      <c r="AN111" s="119">
        <f>IF(AND(AD111="Y",E111="N",K111="Y",OR(C111="12:15 PM",C111="2:00 PM")),SUMPRODUCT(($AD$2:AD111="Y")*($E$2:E111="N")*($K$2:K111="Y")*(($C$2:C111="12:15 PM")+($C$2:C111="2:00 PM"))), "")</f>
        <v/>
      </c>
      <c r="AO111" s="119">
        <f>IF(AND(AD111="Y",C111="12:15 PM",E111="N",L111="Y"),COUNTIFS($AD$2:AD111,"Y",$C$2:C111,"12:15 PM",$E$2:E111,"N",$L$2:L111,"Y"),"")</f>
        <v/>
      </c>
      <c r="AP111" s="119">
        <f>IF(AND(AD111="Y",C111="2:00 PM",E111="N",L111="Y"),COUNTIFS($AD$2:AD111,"Y",$C$2:C111,"2:00 PM",$E$2:E111,"N",$L$2:L111,"Y"),"")</f>
        <v/>
      </c>
    </row>
    <row r="112" ht="14.25" customHeight="1" s="120">
      <c r="A112" s="231" t="inlineStr">
        <is>
          <t>EMP-0119</t>
        </is>
      </c>
      <c r="B112" s="232" t="inlineStr">
        <is>
          <t>Quintavious Battle</t>
        </is>
      </c>
      <c r="C112" s="232" t="inlineStr">
        <is>
          <t>9:15 PM</t>
        </is>
      </c>
      <c r="D112" s="232" t="inlineStr">
        <is>
          <t>Fri, Sat</t>
        </is>
      </c>
      <c r="E112" s="232" t="inlineStr">
        <is>
          <t>Y</t>
        </is>
      </c>
      <c r="F112" s="232" t="inlineStr">
        <is>
          <t>N</t>
        </is>
      </c>
      <c r="G112" s="232" t="inlineStr">
        <is>
          <t>Y</t>
        </is>
      </c>
      <c r="H112" s="232" t="inlineStr">
        <is>
          <t>None</t>
        </is>
      </c>
      <c r="I112" s="232" t="inlineStr">
        <is>
          <t>N</t>
        </is>
      </c>
      <c r="J112" s="232" t="inlineStr">
        <is>
          <t>Y</t>
        </is>
      </c>
      <c r="K112" s="232" t="inlineStr">
        <is>
          <t>N</t>
        </is>
      </c>
      <c r="L112" s="232" t="inlineStr">
        <is>
          <t>Y</t>
        </is>
      </c>
      <c r="M112" s="232" t="inlineStr">
        <is>
          <t>Standard</t>
        </is>
      </c>
      <c r="N112" s="232" t="n"/>
      <c r="O112" s="232" t="n"/>
      <c r="P112" s="232" t="inlineStr">
        <is>
          <t>N</t>
        </is>
      </c>
      <c r="Q112" s="232" t="n"/>
      <c r="R112" s="232" t="n"/>
      <c r="S112" s="232" t="n"/>
      <c r="T112" s="233" t="inlineStr">
        <is>
          <t>N</t>
        </is>
      </c>
      <c r="U112" s="227">
        <f>IF($B112="","",IF(AND($G112="Y",ISERROR(SEARCH(TEXT('Control Center'!$B$3,"ddd"),TRIM($D112)))),"Y","N"))</f>
        <v/>
      </c>
      <c r="V112" s="227">
        <f>IF($B112="","",IF(AND($U112="Y",OR($C112="3:45 AM",$C112="5:45 AM"),OR('Control Center'!$B$4="N",$K112&lt;&gt;"Y")),"Y","N"))</f>
        <v/>
      </c>
      <c r="W112" s="227">
        <f>IF($B112="","",IF(AND($U112="Y",OR($C112="12:15 PM",$C112="2:00 PM"),OR('Control Center'!$B$5="N",$K112&lt;&gt;"Y")),"Y","N"))</f>
        <v/>
      </c>
      <c r="X112" s="228" t="n"/>
      <c r="Y112" s="229" t="n"/>
      <c r="Z112" s="228" t="n"/>
      <c r="AA112" s="229" t="n"/>
      <c r="AB112" s="230">
        <f>IF($B112="","",IF($P112="Y",IF($Y112="Y","Completed","In Progress"),""))</f>
        <v/>
      </c>
      <c r="AC112" s="119">
        <f>IF($B112="","",IF(COUNTIFS('Approved Absences'!$A$2:$A$200,$B112,'Approved Absences'!$B$2:$B$200,"&lt;="&amp;INT('Control Center'!$B$3),'Approved Absences'!$C$2:$C$200,"&gt;="&amp;INT('Control Center'!$B$3))&gt;0,"Y","N"))</f>
        <v/>
      </c>
      <c r="AD112" s="119">
        <f>IF($B112="","",IF(AND($G112="Y",$AC112&lt;&gt;"Y",ISERROR(SEARCH(TEXT('Control Center'!$B$3,"ddd"),TRIM($D112)))),"Y","N"))</f>
        <v/>
      </c>
      <c r="AE112" s="119">
        <f>IF(AND(AD112="Y",C112="3:45 AM",E112="N",K112&lt;&gt;"Y"),COUNTIFS($AD$2:AD112,"Y",$C$2:C112,"3:45 AM",$E$2:E112,"N",$K$2:K112,"&lt;&gt;Y"),"")</f>
        <v/>
      </c>
      <c r="AF112" s="119">
        <f>IF(AND(AD112="Y",C112="5:45 AM",E112="N",K112&lt;&gt;"Y"),COUNTIFS($AD$2:AD112,"Y",$C$2:C112,"5:45 AM",$E$2:E112,"N",$K$2:K112,"&lt;&gt;Y"),"")</f>
        <v/>
      </c>
      <c r="AG112" s="119">
        <f>IF(AND(AD112="Y",C112="3:45 AM",E112="N",L112="Y",K112&lt;&gt;"Y"),COUNTIFS($AD$2:AD112,"Y",$C$2:C112,"3:45 AM",$E$2:E112,"N",$L$2:L112,"Y",$K$2:K112,"&lt;&gt;Y"),"")</f>
        <v/>
      </c>
      <c r="AH112" s="119">
        <f>IF(AND(AD112="Y",C112="5:45 AM",E112="N",L112="Y",K112&lt;&gt;"Y"),COUNTIFS($AD$2:AD112,"Y",$C$2:C112,"5:45 AM",$E$2:E112,"N",$L$2:L112,"Y",$K$2:K112,"&lt;&gt;Y"),"")</f>
        <v/>
      </c>
      <c r="AI112" s="119">
        <f>IF(AND(AD112="Y",E112="N",K112="Y",OR(C112="3:45 AM",C112="5:45 AM")),SUMPRODUCT(($AD$2:AD112="Y")*($E$2:E112="N")*($K$2:K112="Y")*(($C$2:C112="3:45 AM")+($C$2:C112="5:45 AM"))), "")</f>
        <v/>
      </c>
      <c r="AJ112" s="119">
        <f>IF(AND(AD112="Y",C112="3:45 AM",E112="N",J112="Y"),COUNTIFS($AD$2:AD112,"Y",$C$2:C112,"3:45 AM",$E$2:E112,"N",$J$2:J112,"Y"),"")</f>
        <v/>
      </c>
      <c r="AK112" s="119">
        <f>IF(AND(AD112="Y",E112="N",I112="Y",OR(C112="3:45 AM",C112="5:45 AM")),SUMPRODUCT(($AD$2:AD112="Y")*($E$2:E112="N")*($I$2:I112="Y")*(($C$2:C112="3:45 AM")+($C$2:C112="5:45 AM"))), "")</f>
        <v/>
      </c>
      <c r="AL112" s="119">
        <f>IF(AND(AD112="Y",C112="12:15 PM",E112="N",K112&lt;&gt;"Y"),COUNTIFS($AD$2:AD112,"Y",$C$2:C112,"12:15 PM",$E$2:E112,"N",$K$2:K112,"&lt;&gt;Y"),"")</f>
        <v/>
      </c>
      <c r="AM112" s="119">
        <f>IF(AND(AD112="Y",C112="2:00 PM",E112="N",K112&lt;&gt;"Y"),COUNTIFS($AD$2:AD112,"Y",$C$2:C112,"2:00 PM",$E$2:E112,"N",$K$2:K112,"&lt;&gt;Y"),"")</f>
        <v/>
      </c>
      <c r="AN112" s="119">
        <f>IF(AND(AD112="Y",E112="N",K112="Y",OR(C112="12:15 PM",C112="2:00 PM")),SUMPRODUCT(($AD$2:AD112="Y")*($E$2:E112="N")*($K$2:K112="Y")*(($C$2:C112="12:15 PM")+($C$2:C112="2:00 PM"))), "")</f>
        <v/>
      </c>
      <c r="AO112" s="119">
        <f>IF(AND(AD112="Y",C112="12:15 PM",E112="N",L112="Y"),COUNTIFS($AD$2:AD112,"Y",$C$2:C112,"12:15 PM",$E$2:E112,"N",$L$2:L112,"Y"),"")</f>
        <v/>
      </c>
      <c r="AP112" s="119">
        <f>IF(AND(AD112="Y",C112="2:00 PM",E112="N",L112="Y"),COUNTIFS($AD$2:AD112,"Y",$C$2:C112,"2:00 PM",$E$2:E112,"N",$L$2:L112,"Y"),"")</f>
        <v/>
      </c>
    </row>
    <row r="113" ht="14.25" customHeight="1" s="120">
      <c r="A113" s="231" t="inlineStr">
        <is>
          <t>EMP-0120</t>
        </is>
      </c>
      <c r="B113" s="232" t="inlineStr">
        <is>
          <t>Reginald Mundy</t>
        </is>
      </c>
      <c r="C113" s="232" t="inlineStr">
        <is>
          <t>9:15 PM</t>
        </is>
      </c>
      <c r="D113" s="232" t="inlineStr">
        <is>
          <t>Fri, Sat</t>
        </is>
      </c>
      <c r="E113" s="232" t="inlineStr">
        <is>
          <t>N</t>
        </is>
      </c>
      <c r="F113" s="232" t="inlineStr">
        <is>
          <t>N</t>
        </is>
      </c>
      <c r="G113" s="232" t="inlineStr">
        <is>
          <t>Y</t>
        </is>
      </c>
      <c r="H113" s="232" t="inlineStr">
        <is>
          <t>None</t>
        </is>
      </c>
      <c r="I113" s="232" t="inlineStr">
        <is>
          <t>N</t>
        </is>
      </c>
      <c r="J113" s="232" t="inlineStr">
        <is>
          <t>N</t>
        </is>
      </c>
      <c r="K113" s="232" t="inlineStr">
        <is>
          <t>N</t>
        </is>
      </c>
      <c r="L113" s="232" t="inlineStr">
        <is>
          <t>Y</t>
        </is>
      </c>
      <c r="M113" s="232" t="inlineStr">
        <is>
          <t>Standard</t>
        </is>
      </c>
      <c r="N113" s="232" t="n"/>
      <c r="O113" s="232" t="n"/>
      <c r="P113" s="232" t="inlineStr">
        <is>
          <t>N</t>
        </is>
      </c>
      <c r="Q113" s="232" t="n"/>
      <c r="R113" s="232" t="n"/>
      <c r="S113" s="232" t="n"/>
      <c r="T113" s="233" t="inlineStr">
        <is>
          <t>N</t>
        </is>
      </c>
      <c r="U113" s="227">
        <f>IF($B113="","",IF(AND($G113="Y",ISERROR(SEARCH(TEXT('Control Center'!$B$3,"ddd"),TRIM($D113)))),"Y","N"))</f>
        <v/>
      </c>
      <c r="V113" s="227">
        <f>IF($B113="","",IF(AND($U113="Y",OR($C113="3:45 AM",$C113="5:45 AM"),OR('Control Center'!$B$4="N",$K113&lt;&gt;"Y")),"Y","N"))</f>
        <v/>
      </c>
      <c r="W113" s="227">
        <f>IF($B113="","",IF(AND($U113="Y",OR($C113="12:15 PM",$C113="2:00 PM"),OR('Control Center'!$B$5="N",$K113&lt;&gt;"Y")),"Y","N"))</f>
        <v/>
      </c>
      <c r="X113" s="228" t="n"/>
      <c r="Y113" s="229" t="n"/>
      <c r="Z113" s="228" t="n"/>
      <c r="AA113" s="229" t="n"/>
      <c r="AB113" s="230">
        <f>IF($B113="","",IF($P113="Y",IF($Y113="Y","Completed","In Progress"),""))</f>
        <v/>
      </c>
      <c r="AC113" s="119">
        <f>IF($B113="","",IF(COUNTIFS('Approved Absences'!$A$2:$A$200,$B113,'Approved Absences'!$B$2:$B$200,"&lt;="&amp;INT('Control Center'!$B$3),'Approved Absences'!$C$2:$C$200,"&gt;="&amp;INT('Control Center'!$B$3))&gt;0,"Y","N"))</f>
        <v/>
      </c>
      <c r="AD113" s="119">
        <f>IF($B113="","",IF(AND($G113="Y",$AC113&lt;&gt;"Y",ISERROR(SEARCH(TEXT('Control Center'!$B$3,"ddd"),TRIM($D113)))),"Y","N"))</f>
        <v/>
      </c>
      <c r="AE113" s="119">
        <f>IF(AND(AD113="Y",C113="3:45 AM",E113="N",K113&lt;&gt;"Y"),COUNTIFS($AD$2:AD113,"Y",$C$2:C113,"3:45 AM",$E$2:E113,"N",$K$2:K113,"&lt;&gt;Y"),"")</f>
        <v/>
      </c>
      <c r="AF113" s="119">
        <f>IF(AND(AD113="Y",C113="5:45 AM",E113="N",K113&lt;&gt;"Y"),COUNTIFS($AD$2:AD113,"Y",$C$2:C113,"5:45 AM",$E$2:E113,"N",$K$2:K113,"&lt;&gt;Y"),"")</f>
        <v/>
      </c>
      <c r="AG113" s="119">
        <f>IF(AND(AD113="Y",C113="3:45 AM",E113="N",L113="Y",K113&lt;&gt;"Y"),COUNTIFS($AD$2:AD113,"Y",$C$2:C113,"3:45 AM",$E$2:E113,"N",$L$2:L113,"Y",$K$2:K113,"&lt;&gt;Y"),"")</f>
        <v/>
      </c>
      <c r="AH113" s="119">
        <f>IF(AND(AD113="Y",C113="5:45 AM",E113="N",L113="Y",K113&lt;&gt;"Y"),COUNTIFS($AD$2:AD113,"Y",$C$2:C113,"5:45 AM",$E$2:E113,"N",$L$2:L113,"Y",$K$2:K113,"&lt;&gt;Y"),"")</f>
        <v/>
      </c>
      <c r="AI113" s="119">
        <f>IF(AND(AD113="Y",E113="N",K113="Y",OR(C113="3:45 AM",C113="5:45 AM")),SUMPRODUCT(($AD$2:AD113="Y")*($E$2:E113="N")*($K$2:K113="Y")*(($C$2:C113="3:45 AM")+($C$2:C113="5:45 AM"))), "")</f>
        <v/>
      </c>
      <c r="AJ113" s="119">
        <f>IF(AND(AD113="Y",C113="3:45 AM",E113="N",J113="Y"),COUNTIFS($AD$2:AD113,"Y",$C$2:C113,"3:45 AM",$E$2:E113,"N",$J$2:J113,"Y"),"")</f>
        <v/>
      </c>
      <c r="AK113" s="119">
        <f>IF(AND(AD113="Y",E113="N",I113="Y",OR(C113="3:45 AM",C113="5:45 AM")),SUMPRODUCT(($AD$2:AD113="Y")*($E$2:E113="N")*($I$2:I113="Y")*(($C$2:C113="3:45 AM")+($C$2:C113="5:45 AM"))), "")</f>
        <v/>
      </c>
      <c r="AL113" s="119">
        <f>IF(AND(AD113="Y",C113="12:15 PM",E113="N",K113&lt;&gt;"Y"),COUNTIFS($AD$2:AD113,"Y",$C$2:C113,"12:15 PM",$E$2:E113,"N",$K$2:K113,"&lt;&gt;Y"),"")</f>
        <v/>
      </c>
      <c r="AM113" s="119">
        <f>IF(AND(AD113="Y",C113="2:00 PM",E113="N",K113&lt;&gt;"Y"),COUNTIFS($AD$2:AD113,"Y",$C$2:C113,"2:00 PM",$E$2:E113,"N",$K$2:K113,"&lt;&gt;Y"),"")</f>
        <v/>
      </c>
      <c r="AN113" s="119">
        <f>IF(AND(AD113="Y",E113="N",K113="Y",OR(C113="12:15 PM",C113="2:00 PM")),SUMPRODUCT(($AD$2:AD113="Y")*($E$2:E113="N")*($K$2:K113="Y")*(($C$2:C113="12:15 PM")+($C$2:C113="2:00 PM"))), "")</f>
        <v/>
      </c>
      <c r="AO113" s="119">
        <f>IF(AND(AD113="Y",C113="12:15 PM",E113="N",L113="Y"),COUNTIFS($AD$2:AD113,"Y",$C$2:C113,"12:15 PM",$E$2:E113,"N",$L$2:L113,"Y"),"")</f>
        <v/>
      </c>
      <c r="AP113" s="119">
        <f>IF(AND(AD113="Y",C113="2:00 PM",E113="N",L113="Y"),COUNTIFS($AD$2:AD113,"Y",$C$2:C113,"2:00 PM",$E$2:E113,"N",$L$2:L113,"Y"),"")</f>
        <v/>
      </c>
    </row>
    <row r="114" ht="14.25" customHeight="1" s="120">
      <c r="A114" s="231" t="inlineStr">
        <is>
          <t>EMP-0121</t>
        </is>
      </c>
      <c r="B114" s="232" t="inlineStr">
        <is>
          <t>Renetheia Denson</t>
        </is>
      </c>
      <c r="C114" s="232" t="inlineStr">
        <is>
          <t>5:45 AM</t>
        </is>
      </c>
      <c r="D114" s="232" t="inlineStr">
        <is>
          <t>Fri, Sat</t>
        </is>
      </c>
      <c r="E114" s="232" t="inlineStr">
        <is>
          <t>Y</t>
        </is>
      </c>
      <c r="F114" s="232" t="inlineStr">
        <is>
          <t>N</t>
        </is>
      </c>
      <c r="G114" s="232" t="inlineStr">
        <is>
          <t>Y</t>
        </is>
      </c>
      <c r="H114" s="232" t="inlineStr">
        <is>
          <t>None</t>
        </is>
      </c>
      <c r="I114" s="232" t="inlineStr">
        <is>
          <t>N</t>
        </is>
      </c>
      <c r="J114" s="232" t="inlineStr">
        <is>
          <t>N</t>
        </is>
      </c>
      <c r="K114" s="232" t="inlineStr">
        <is>
          <t>N</t>
        </is>
      </c>
      <c r="L114" s="232" t="inlineStr">
        <is>
          <t>Y</t>
        </is>
      </c>
      <c r="M114" s="232" t="inlineStr">
        <is>
          <t>Standard</t>
        </is>
      </c>
      <c r="N114" s="232" t="n"/>
      <c r="O114" s="232" t="n"/>
      <c r="P114" s="232" t="inlineStr">
        <is>
          <t>N</t>
        </is>
      </c>
      <c r="Q114" s="232" t="n"/>
      <c r="R114" s="232" t="n"/>
      <c r="S114" s="232" t="n"/>
      <c r="T114" s="233" t="inlineStr">
        <is>
          <t>N</t>
        </is>
      </c>
      <c r="U114" s="227">
        <f>IF($B114="","",IF(AND($G114="Y",ISERROR(SEARCH(TEXT('Control Center'!$B$3,"ddd"),TRIM($D114)))),"Y","N"))</f>
        <v/>
      </c>
      <c r="V114" s="227">
        <f>IF($B114="","",IF(AND($U114="Y",OR($C114="3:45 AM",$C114="5:45 AM"),OR('Control Center'!$B$4="N",$K114&lt;&gt;"Y")),"Y","N"))</f>
        <v/>
      </c>
      <c r="W114" s="227">
        <f>IF($B114="","",IF(AND($U114="Y",OR($C114="12:15 PM",$C114="2:00 PM"),OR('Control Center'!$B$5="N",$K114&lt;&gt;"Y")),"Y","N"))</f>
        <v/>
      </c>
      <c r="X114" s="228" t="n"/>
      <c r="Y114" s="229" t="n"/>
      <c r="Z114" s="228" t="n"/>
      <c r="AA114" s="229" t="n"/>
      <c r="AB114" s="230">
        <f>IF($B114="","",IF($P114="Y",IF($Y114="Y","Completed","In Progress"),""))</f>
        <v/>
      </c>
      <c r="AC114" s="119">
        <f>IF($B114="","",IF(COUNTIFS('Approved Absences'!$A$2:$A$200,$B114,'Approved Absences'!$B$2:$B$200,"&lt;="&amp;INT('Control Center'!$B$3),'Approved Absences'!$C$2:$C$200,"&gt;="&amp;INT('Control Center'!$B$3))&gt;0,"Y","N"))</f>
        <v/>
      </c>
      <c r="AD114" s="119">
        <f>IF($B114="","",IF(AND($G114="Y",$AC114&lt;&gt;"Y",ISERROR(SEARCH(TEXT('Control Center'!$B$3,"ddd"),TRIM($D114)))),"Y","N"))</f>
        <v/>
      </c>
      <c r="AE114" s="119">
        <f>IF(AND(AD114="Y",C114="3:45 AM",E114="N",K114&lt;&gt;"Y"),COUNTIFS($AD$2:AD114,"Y",$C$2:C114,"3:45 AM",$E$2:E114,"N",$K$2:K114,"&lt;&gt;Y"),"")</f>
        <v/>
      </c>
      <c r="AF114" s="119">
        <f>IF(AND(AD114="Y",C114="5:45 AM",E114="N",K114&lt;&gt;"Y"),COUNTIFS($AD$2:AD114,"Y",$C$2:C114,"5:45 AM",$E$2:E114,"N",$K$2:K114,"&lt;&gt;Y"),"")</f>
        <v/>
      </c>
      <c r="AG114" s="119">
        <f>IF(AND(AD114="Y",C114="3:45 AM",E114="N",L114="Y",K114&lt;&gt;"Y"),COUNTIFS($AD$2:AD114,"Y",$C$2:C114,"3:45 AM",$E$2:E114,"N",$L$2:L114,"Y",$K$2:K114,"&lt;&gt;Y"),"")</f>
        <v/>
      </c>
      <c r="AH114" s="119">
        <f>IF(AND(AD114="Y",C114="5:45 AM",E114="N",L114="Y",K114&lt;&gt;"Y"),COUNTIFS($AD$2:AD114,"Y",$C$2:C114,"5:45 AM",$E$2:E114,"N",$L$2:L114,"Y",$K$2:K114,"&lt;&gt;Y"),"")</f>
        <v/>
      </c>
      <c r="AI114" s="119">
        <f>IF(AND(AD114="Y",E114="N",K114="Y",OR(C114="3:45 AM",C114="5:45 AM")),SUMPRODUCT(($AD$2:AD114="Y")*($E$2:E114="N")*($K$2:K114="Y")*(($C$2:C114="3:45 AM")+($C$2:C114="5:45 AM"))), "")</f>
        <v/>
      </c>
      <c r="AJ114" s="119">
        <f>IF(AND(AD114="Y",C114="3:45 AM",E114="N",J114="Y"),COUNTIFS($AD$2:AD114,"Y",$C$2:C114,"3:45 AM",$E$2:E114,"N",$J$2:J114,"Y"),"")</f>
        <v/>
      </c>
      <c r="AK114" s="119">
        <f>IF(AND(AD114="Y",E114="N",I114="Y",OR(C114="3:45 AM",C114="5:45 AM")),SUMPRODUCT(($AD$2:AD114="Y")*($E$2:E114="N")*($I$2:I114="Y")*(($C$2:C114="3:45 AM")+($C$2:C114="5:45 AM"))), "")</f>
        <v/>
      </c>
      <c r="AL114" s="119">
        <f>IF(AND(AD114="Y",C114="12:15 PM",E114="N",K114&lt;&gt;"Y"),COUNTIFS($AD$2:AD114,"Y",$C$2:C114,"12:15 PM",$E$2:E114,"N",$K$2:K114,"&lt;&gt;Y"),"")</f>
        <v/>
      </c>
      <c r="AM114" s="119">
        <f>IF(AND(AD114="Y",C114="2:00 PM",E114="N",K114&lt;&gt;"Y"),COUNTIFS($AD$2:AD114,"Y",$C$2:C114,"2:00 PM",$E$2:E114,"N",$K$2:K114,"&lt;&gt;Y"),"")</f>
        <v/>
      </c>
      <c r="AN114" s="119">
        <f>IF(AND(AD114="Y",E114="N",K114="Y",OR(C114="12:15 PM",C114="2:00 PM")),SUMPRODUCT(($AD$2:AD114="Y")*($E$2:E114="N")*($K$2:K114="Y")*(($C$2:C114="12:15 PM")+($C$2:C114="2:00 PM"))), "")</f>
        <v/>
      </c>
      <c r="AO114" s="119">
        <f>IF(AND(AD114="Y",C114="12:15 PM",E114="N",L114="Y"),COUNTIFS($AD$2:AD114,"Y",$C$2:C114,"12:15 PM",$E$2:E114,"N",$L$2:L114,"Y"),"")</f>
        <v/>
      </c>
      <c r="AP114" s="119">
        <f>IF(AND(AD114="Y",C114="2:00 PM",E114="N",L114="Y"),COUNTIFS($AD$2:AD114,"Y",$C$2:C114,"2:00 PM",$E$2:E114,"N",$L$2:L114,"Y"),"")</f>
        <v/>
      </c>
    </row>
    <row r="115" ht="14.25" customHeight="1" s="120">
      <c r="A115" s="231" t="inlineStr">
        <is>
          <t>EMP-0122</t>
        </is>
      </c>
      <c r="B115" s="232" t="inlineStr">
        <is>
          <t>Richard Soro</t>
        </is>
      </c>
      <c r="C115" s="232" t="inlineStr">
        <is>
          <t>2:00 PM</t>
        </is>
      </c>
      <c r="D115" s="232" t="inlineStr">
        <is>
          <t>Sat, Sun</t>
        </is>
      </c>
      <c r="E115" s="232" t="inlineStr">
        <is>
          <t>N</t>
        </is>
      </c>
      <c r="F115" s="232" t="inlineStr">
        <is>
          <t>N</t>
        </is>
      </c>
      <c r="G115" s="232" t="inlineStr">
        <is>
          <t>Y</t>
        </is>
      </c>
      <c r="H115" s="232" t="inlineStr">
        <is>
          <t>6:00 PM</t>
        </is>
      </c>
      <c r="I115" s="232" t="inlineStr">
        <is>
          <t>Y</t>
        </is>
      </c>
      <c r="J115" s="232" t="inlineStr">
        <is>
          <t>N</t>
        </is>
      </c>
      <c r="K115" s="232" t="inlineStr">
        <is>
          <t>N</t>
        </is>
      </c>
      <c r="L115" s="232" t="inlineStr">
        <is>
          <t>N</t>
        </is>
      </c>
      <c r="M115" s="232" t="inlineStr">
        <is>
          <t>Standard</t>
        </is>
      </c>
      <c r="N115" s="232" t="n"/>
      <c r="O115" s="232" t="n"/>
      <c r="P115" s="232" t="inlineStr">
        <is>
          <t>N</t>
        </is>
      </c>
      <c r="Q115" s="232" t="n"/>
      <c r="R115" s="232" t="n"/>
      <c r="S115" s="232" t="n"/>
      <c r="T115" s="233" t="inlineStr">
        <is>
          <t>Y</t>
        </is>
      </c>
      <c r="U115" s="227">
        <f>IF($B115="","",IF(AND($G115="Y",ISERROR(SEARCH(TEXT('Control Center'!$B$3,"ddd"),TRIM($D115)))),"Y","N"))</f>
        <v/>
      </c>
      <c r="V115" s="227">
        <f>IF($B115="","",IF(AND($U115="Y",OR($C115="3:45 AM",$C115="5:45 AM"),OR('Control Center'!$B$4="N",$K115&lt;&gt;"Y")),"Y","N"))</f>
        <v/>
      </c>
      <c r="W115" s="227">
        <f>IF($B115="","",IF(AND($U115="Y",OR($C115="12:15 PM",$C115="2:00 PM"),OR('Control Center'!$B$5="N",$K115&lt;&gt;"Y")),"Y","N"))</f>
        <v/>
      </c>
      <c r="X115" s="228" t="n"/>
      <c r="Y115" s="229" t="n"/>
      <c r="Z115" s="228" t="n"/>
      <c r="AA115" s="229" t="n"/>
      <c r="AB115" s="230">
        <f>IF($B115="","",IF($P115="Y",IF($Y115="Y","Completed","In Progress"),""))</f>
        <v/>
      </c>
      <c r="AC115" s="119">
        <f>IF($B115="","",IF(COUNTIFS('Approved Absences'!$A$2:$A$200,$B115,'Approved Absences'!$B$2:$B$200,"&lt;="&amp;INT('Control Center'!$B$3),'Approved Absences'!$C$2:$C$200,"&gt;="&amp;INT('Control Center'!$B$3))&gt;0,"Y","N"))</f>
        <v/>
      </c>
      <c r="AD115" s="119">
        <f>IF($B115="","",IF(AND($G115="Y",$AC115&lt;&gt;"Y",ISERROR(SEARCH(TEXT('Control Center'!$B$3,"ddd"),TRIM($D115)))),"Y","N"))</f>
        <v/>
      </c>
      <c r="AE115" s="119">
        <f>IF(AND(AD115="Y",C115="3:45 AM",E115="N",K115&lt;&gt;"Y"),COUNTIFS($AD$2:AD115,"Y",$C$2:C115,"3:45 AM",$E$2:E115,"N",$K$2:K115,"&lt;&gt;Y"),"")</f>
        <v/>
      </c>
      <c r="AF115" s="119">
        <f>IF(AND(AD115="Y",C115="5:45 AM",E115="N",K115&lt;&gt;"Y"),COUNTIFS($AD$2:AD115,"Y",$C$2:C115,"5:45 AM",$E$2:E115,"N",$K$2:K115,"&lt;&gt;Y"),"")</f>
        <v/>
      </c>
      <c r="AG115" s="119">
        <f>IF(AND(AD115="Y",C115="3:45 AM",E115="N",L115="Y",K115&lt;&gt;"Y"),COUNTIFS($AD$2:AD115,"Y",$C$2:C115,"3:45 AM",$E$2:E115,"N",$L$2:L115,"Y",$K$2:K115,"&lt;&gt;Y"),"")</f>
        <v/>
      </c>
      <c r="AH115" s="119">
        <f>IF(AND(AD115="Y",C115="5:45 AM",E115="N",L115="Y",K115&lt;&gt;"Y"),COUNTIFS($AD$2:AD115,"Y",$C$2:C115,"5:45 AM",$E$2:E115,"N",$L$2:L115,"Y",$K$2:K115,"&lt;&gt;Y"),"")</f>
        <v/>
      </c>
      <c r="AI115" s="119">
        <f>IF(AND(AD115="Y",E115="N",K115="Y",OR(C115="3:45 AM",C115="5:45 AM")),SUMPRODUCT(($AD$2:AD115="Y")*($E$2:E115="N")*($K$2:K115="Y")*(($C$2:C115="3:45 AM")+($C$2:C115="5:45 AM"))), "")</f>
        <v/>
      </c>
      <c r="AJ115" s="119">
        <f>IF(AND(AD115="Y",C115="3:45 AM",E115="N",J115="Y"),COUNTIFS($AD$2:AD115,"Y",$C$2:C115,"3:45 AM",$E$2:E115,"N",$J$2:J115,"Y"),"")</f>
        <v/>
      </c>
      <c r="AK115" s="119">
        <f>IF(AND(AD115="Y",E115="N",I115="Y",OR(C115="3:45 AM",C115="5:45 AM")),SUMPRODUCT(($AD$2:AD115="Y")*($E$2:E115="N")*($I$2:I115="Y")*(($C$2:C115="3:45 AM")+($C$2:C115="5:45 AM"))), "")</f>
        <v/>
      </c>
      <c r="AL115" s="119">
        <f>IF(AND(AD115="Y",C115="12:15 PM",E115="N",K115&lt;&gt;"Y"),COUNTIFS($AD$2:AD115,"Y",$C$2:C115,"12:15 PM",$E$2:E115,"N",$K$2:K115,"&lt;&gt;Y"),"")</f>
        <v/>
      </c>
      <c r="AM115" s="119">
        <f>IF(AND(AD115="Y",C115="2:00 PM",E115="N",K115&lt;&gt;"Y"),COUNTIFS($AD$2:AD115,"Y",$C$2:C115,"2:00 PM",$E$2:E115,"N",$K$2:K115,"&lt;&gt;Y"),"")</f>
        <v/>
      </c>
      <c r="AN115" s="119">
        <f>IF(AND(AD115="Y",E115="N",K115="Y",OR(C115="12:15 PM",C115="2:00 PM")),SUMPRODUCT(($AD$2:AD115="Y")*($E$2:E115="N")*($K$2:K115="Y")*(($C$2:C115="12:15 PM")+($C$2:C115="2:00 PM"))), "")</f>
        <v/>
      </c>
      <c r="AO115" s="119">
        <f>IF(AND(AD115="Y",C115="12:15 PM",E115="N",L115="Y"),COUNTIFS($AD$2:AD115,"Y",$C$2:C115,"12:15 PM",$E$2:E115,"N",$L$2:L115,"Y"),"")</f>
        <v/>
      </c>
      <c r="AP115" s="119">
        <f>IF(AND(AD115="Y",C115="2:00 PM",E115="N",L115="Y"),COUNTIFS($AD$2:AD115,"Y",$C$2:C115,"2:00 PM",$E$2:E115,"N",$L$2:L115,"Y"),"")</f>
        <v/>
      </c>
    </row>
    <row r="116" ht="14.25" customHeight="1" s="120">
      <c r="A116" s="231" t="inlineStr">
        <is>
          <t>EMP-0123</t>
        </is>
      </c>
      <c r="B116" s="232" t="inlineStr">
        <is>
          <t>Rihana Ababulla</t>
        </is>
      </c>
      <c r="C116" s="232" t="inlineStr">
        <is>
          <t>12:15 PM</t>
        </is>
      </c>
      <c r="D116" s="232" t="inlineStr">
        <is>
          <t>Thu, Fri</t>
        </is>
      </c>
      <c r="E116" s="232" t="inlineStr">
        <is>
          <t>N</t>
        </is>
      </c>
      <c r="F116" s="232" t="inlineStr">
        <is>
          <t>N</t>
        </is>
      </c>
      <c r="G116" s="232" t="inlineStr">
        <is>
          <t>Y</t>
        </is>
      </c>
      <c r="H116" s="232" t="inlineStr">
        <is>
          <t>5:00 PM</t>
        </is>
      </c>
      <c r="I116" s="232" t="inlineStr">
        <is>
          <t>N</t>
        </is>
      </c>
      <c r="J116" s="232" t="inlineStr">
        <is>
          <t>N</t>
        </is>
      </c>
      <c r="K116" s="232" t="inlineStr">
        <is>
          <t>N</t>
        </is>
      </c>
      <c r="L116" s="232" t="inlineStr">
        <is>
          <t>N</t>
        </is>
      </c>
      <c r="M116" s="232" t="inlineStr">
        <is>
          <t>Standard</t>
        </is>
      </c>
      <c r="N116" s="232" t="n"/>
      <c r="O116" s="232" t="n"/>
      <c r="P116" s="232" t="inlineStr">
        <is>
          <t>N</t>
        </is>
      </c>
      <c r="Q116" s="232" t="n"/>
      <c r="R116" s="232" t="n"/>
      <c r="S116" s="232" t="n"/>
      <c r="T116" s="233" t="inlineStr">
        <is>
          <t>N</t>
        </is>
      </c>
      <c r="U116" s="227">
        <f>IF($B116="","",IF(AND($G116="Y",ISERROR(SEARCH(TEXT('Control Center'!$B$3,"ddd"),TRIM($D116)))),"Y","N"))</f>
        <v/>
      </c>
      <c r="V116" s="227">
        <f>IF($B116="","",IF(AND($U116="Y",OR($C116="3:45 AM",$C116="5:45 AM"),OR('Control Center'!$B$4="N",$K116&lt;&gt;"Y")),"Y","N"))</f>
        <v/>
      </c>
      <c r="W116" s="227">
        <f>IF($B116="","",IF(AND($U116="Y",OR($C116="12:15 PM",$C116="2:00 PM"),OR('Control Center'!$B$5="N",$K116&lt;&gt;"Y")),"Y","N"))</f>
        <v/>
      </c>
      <c r="X116" s="228" t="n"/>
      <c r="Y116" s="229" t="n"/>
      <c r="Z116" s="228" t="n"/>
      <c r="AA116" s="229" t="n"/>
      <c r="AB116" s="230">
        <f>IF($B116="","",IF($P116="Y",IF($Y116="Y","Completed","In Progress"),""))</f>
        <v/>
      </c>
      <c r="AC116" s="119">
        <f>IF($B116="","",IF(COUNTIFS('Approved Absences'!$A$2:$A$200,$B116,'Approved Absences'!$B$2:$B$200,"&lt;="&amp;INT('Control Center'!$B$3),'Approved Absences'!$C$2:$C$200,"&gt;="&amp;INT('Control Center'!$B$3))&gt;0,"Y","N"))</f>
        <v/>
      </c>
      <c r="AD116" s="119">
        <f>IF($B116="","",IF(AND($G116="Y",$AC116&lt;&gt;"Y",ISERROR(SEARCH(TEXT('Control Center'!$B$3,"ddd"),TRIM($D116)))),"Y","N"))</f>
        <v/>
      </c>
      <c r="AE116" s="119">
        <f>IF(AND(AD116="Y",C116="3:45 AM",E116="N",K116&lt;&gt;"Y"),COUNTIFS($AD$2:AD116,"Y",$C$2:C116,"3:45 AM",$E$2:E116,"N",$K$2:K116,"&lt;&gt;Y"),"")</f>
        <v/>
      </c>
      <c r="AF116" s="119">
        <f>IF(AND(AD116="Y",C116="5:45 AM",E116="N",K116&lt;&gt;"Y"),COUNTIFS($AD$2:AD116,"Y",$C$2:C116,"5:45 AM",$E$2:E116,"N",$K$2:K116,"&lt;&gt;Y"),"")</f>
        <v/>
      </c>
      <c r="AG116" s="119">
        <f>IF(AND(AD116="Y",C116="3:45 AM",E116="N",L116="Y",K116&lt;&gt;"Y"),COUNTIFS($AD$2:AD116,"Y",$C$2:C116,"3:45 AM",$E$2:E116,"N",$L$2:L116,"Y",$K$2:K116,"&lt;&gt;Y"),"")</f>
        <v/>
      </c>
      <c r="AH116" s="119">
        <f>IF(AND(AD116="Y",C116="5:45 AM",E116="N",L116="Y",K116&lt;&gt;"Y"),COUNTIFS($AD$2:AD116,"Y",$C$2:C116,"5:45 AM",$E$2:E116,"N",$L$2:L116,"Y",$K$2:K116,"&lt;&gt;Y"),"")</f>
        <v/>
      </c>
      <c r="AI116" s="119">
        <f>IF(AND(AD116="Y",E116="N",K116="Y",OR(C116="3:45 AM",C116="5:45 AM")),SUMPRODUCT(($AD$2:AD116="Y")*($E$2:E116="N")*($K$2:K116="Y")*(($C$2:C116="3:45 AM")+($C$2:C116="5:45 AM"))), "")</f>
        <v/>
      </c>
      <c r="AJ116" s="119">
        <f>IF(AND(AD116="Y",C116="3:45 AM",E116="N",J116="Y"),COUNTIFS($AD$2:AD116,"Y",$C$2:C116,"3:45 AM",$E$2:E116,"N",$J$2:J116,"Y"),"")</f>
        <v/>
      </c>
      <c r="AK116" s="119">
        <f>IF(AND(AD116="Y",E116="N",I116="Y",OR(C116="3:45 AM",C116="5:45 AM")),SUMPRODUCT(($AD$2:AD116="Y")*($E$2:E116="N")*($I$2:I116="Y")*(($C$2:C116="3:45 AM")+($C$2:C116="5:45 AM"))), "")</f>
        <v/>
      </c>
      <c r="AL116" s="119">
        <f>IF(AND(AD116="Y",C116="12:15 PM",E116="N",K116&lt;&gt;"Y"),COUNTIFS($AD$2:AD116,"Y",$C$2:C116,"12:15 PM",$E$2:E116,"N",$K$2:K116,"&lt;&gt;Y"),"")</f>
        <v/>
      </c>
      <c r="AM116" s="119">
        <f>IF(AND(AD116="Y",C116="2:00 PM",E116="N",K116&lt;&gt;"Y"),COUNTIFS($AD$2:AD116,"Y",$C$2:C116,"2:00 PM",$E$2:E116,"N",$K$2:K116,"&lt;&gt;Y"),"")</f>
        <v/>
      </c>
      <c r="AN116" s="119">
        <f>IF(AND(AD116="Y",E116="N",K116="Y",OR(C116="12:15 PM",C116="2:00 PM")),SUMPRODUCT(($AD$2:AD116="Y")*($E$2:E116="N")*($K$2:K116="Y")*(($C$2:C116="12:15 PM")+($C$2:C116="2:00 PM"))), "")</f>
        <v/>
      </c>
      <c r="AO116" s="119">
        <f>IF(AND(AD116="Y",C116="12:15 PM",E116="N",L116="Y"),COUNTIFS($AD$2:AD116,"Y",$C$2:C116,"12:15 PM",$E$2:E116,"N",$L$2:L116,"Y"),"")</f>
        <v/>
      </c>
      <c r="AP116" s="119">
        <f>IF(AND(AD116="Y",C116="2:00 PM",E116="N",L116="Y"),COUNTIFS($AD$2:AD116,"Y",$C$2:C116,"2:00 PM",$E$2:E116,"N",$L$2:L116,"Y"),"")</f>
        <v/>
      </c>
    </row>
    <row r="117" ht="14.25" customHeight="1" s="120">
      <c r="A117" s="231" t="inlineStr">
        <is>
          <t>EMP-0124</t>
        </is>
      </c>
      <c r="B117" s="232" t="inlineStr">
        <is>
          <t>Rinku Das</t>
        </is>
      </c>
      <c r="C117" s="232" t="inlineStr">
        <is>
          <t>12:15 PM</t>
        </is>
      </c>
      <c r="D117" s="232" t="inlineStr">
        <is>
          <t>Fri, Sat</t>
        </is>
      </c>
      <c r="E117" s="232" t="inlineStr">
        <is>
          <t>Y</t>
        </is>
      </c>
      <c r="F117" s="232" t="inlineStr">
        <is>
          <t>N</t>
        </is>
      </c>
      <c r="G117" s="232" t="inlineStr">
        <is>
          <t>Y</t>
        </is>
      </c>
      <c r="H117" s="232" t="inlineStr">
        <is>
          <t>None</t>
        </is>
      </c>
      <c r="I117" s="232" t="inlineStr">
        <is>
          <t>N</t>
        </is>
      </c>
      <c r="J117" s="232" t="inlineStr">
        <is>
          <t>Y</t>
        </is>
      </c>
      <c r="K117" s="232" t="inlineStr">
        <is>
          <t>N</t>
        </is>
      </c>
      <c r="L117" s="232" t="inlineStr">
        <is>
          <t>Y</t>
        </is>
      </c>
      <c r="M117" s="232" t="inlineStr">
        <is>
          <t>Standard</t>
        </is>
      </c>
      <c r="N117" s="232" t="n"/>
      <c r="O117" s="232" t="n"/>
      <c r="P117" s="232" t="inlineStr">
        <is>
          <t>N</t>
        </is>
      </c>
      <c r="Q117" s="232" t="n"/>
      <c r="R117" s="232" t="n"/>
      <c r="S117" s="232" t="n"/>
      <c r="T117" s="233" t="inlineStr">
        <is>
          <t>N</t>
        </is>
      </c>
      <c r="U117" s="227">
        <f>IF($B117="","",IF(AND($G117="Y",ISERROR(SEARCH(TEXT('Control Center'!$B$3,"ddd"),TRIM($D117)))),"Y","N"))</f>
        <v/>
      </c>
      <c r="V117" s="227">
        <f>IF($B117="","",IF(AND($U117="Y",OR($C117="3:45 AM",$C117="5:45 AM"),OR('Control Center'!$B$4="N",$K117&lt;&gt;"Y")),"Y","N"))</f>
        <v/>
      </c>
      <c r="W117" s="227">
        <f>IF($B117="","",IF(AND($U117="Y",OR($C117="12:15 PM",$C117="2:00 PM"),OR('Control Center'!$B$5="N",$K117&lt;&gt;"Y")),"Y","N"))</f>
        <v/>
      </c>
      <c r="X117" s="228" t="n"/>
      <c r="Y117" s="229" t="n"/>
      <c r="Z117" s="228" t="n"/>
      <c r="AA117" s="229" t="n"/>
      <c r="AB117" s="230">
        <f>IF($B117="","",IF($P117="Y",IF($Y117="Y","Completed","In Progress"),""))</f>
        <v/>
      </c>
      <c r="AC117" s="119">
        <f>IF($B117="","",IF(COUNTIFS('Approved Absences'!$A$2:$A$200,$B117,'Approved Absences'!$B$2:$B$200,"&lt;="&amp;INT('Control Center'!$B$3),'Approved Absences'!$C$2:$C$200,"&gt;="&amp;INT('Control Center'!$B$3))&gt;0,"Y","N"))</f>
        <v/>
      </c>
      <c r="AD117" s="119">
        <f>IF($B117="","",IF(AND($G117="Y",$AC117&lt;&gt;"Y",ISERROR(SEARCH(TEXT('Control Center'!$B$3,"ddd"),TRIM($D117)))),"Y","N"))</f>
        <v/>
      </c>
      <c r="AE117" s="119">
        <f>IF(AND(AD117="Y",C117="3:45 AM",E117="N",K117&lt;&gt;"Y"),COUNTIFS($AD$2:AD117,"Y",$C$2:C117,"3:45 AM",$E$2:E117,"N",$K$2:K117,"&lt;&gt;Y"),"")</f>
        <v/>
      </c>
      <c r="AF117" s="119">
        <f>IF(AND(AD117="Y",C117="5:45 AM",E117="N",K117&lt;&gt;"Y"),COUNTIFS($AD$2:AD117,"Y",$C$2:C117,"5:45 AM",$E$2:E117,"N",$K$2:K117,"&lt;&gt;Y"),"")</f>
        <v/>
      </c>
      <c r="AG117" s="119">
        <f>IF(AND(AD117="Y",C117="3:45 AM",E117="N",L117="Y",K117&lt;&gt;"Y"),COUNTIFS($AD$2:AD117,"Y",$C$2:C117,"3:45 AM",$E$2:E117,"N",$L$2:L117,"Y",$K$2:K117,"&lt;&gt;Y"),"")</f>
        <v/>
      </c>
      <c r="AH117" s="119">
        <f>IF(AND(AD117="Y",C117="5:45 AM",E117="N",L117="Y",K117&lt;&gt;"Y"),COUNTIFS($AD$2:AD117,"Y",$C$2:C117,"5:45 AM",$E$2:E117,"N",$L$2:L117,"Y",$K$2:K117,"&lt;&gt;Y"),"")</f>
        <v/>
      </c>
      <c r="AI117" s="119">
        <f>IF(AND(AD117="Y",E117="N",K117="Y",OR(C117="3:45 AM",C117="5:45 AM")),SUMPRODUCT(($AD$2:AD117="Y")*($E$2:E117="N")*($K$2:K117="Y")*(($C$2:C117="3:45 AM")+($C$2:C117="5:45 AM"))), "")</f>
        <v/>
      </c>
      <c r="AJ117" s="119">
        <f>IF(AND(AD117="Y",C117="3:45 AM",E117="N",J117="Y"),COUNTIFS($AD$2:AD117,"Y",$C$2:C117,"3:45 AM",$E$2:E117,"N",$J$2:J117,"Y"),"")</f>
        <v/>
      </c>
      <c r="AK117" s="119">
        <f>IF(AND(AD117="Y",E117="N",I117="Y",OR(C117="3:45 AM",C117="5:45 AM")),SUMPRODUCT(($AD$2:AD117="Y")*($E$2:E117="N")*($I$2:I117="Y")*(($C$2:C117="3:45 AM")+($C$2:C117="5:45 AM"))), "")</f>
        <v/>
      </c>
      <c r="AL117" s="119">
        <f>IF(AND(AD117="Y",C117="12:15 PM",E117="N",K117&lt;&gt;"Y"),COUNTIFS($AD$2:AD117,"Y",$C$2:C117,"12:15 PM",$E$2:E117,"N",$K$2:K117,"&lt;&gt;Y"),"")</f>
        <v/>
      </c>
      <c r="AM117" s="119">
        <f>IF(AND(AD117="Y",C117="2:00 PM",E117="N",K117&lt;&gt;"Y"),COUNTIFS($AD$2:AD117,"Y",$C$2:C117,"2:00 PM",$E$2:E117,"N",$K$2:K117,"&lt;&gt;Y"),"")</f>
        <v/>
      </c>
      <c r="AN117" s="119">
        <f>IF(AND(AD117="Y",E117="N",K117="Y",OR(C117="12:15 PM",C117="2:00 PM")),SUMPRODUCT(($AD$2:AD117="Y")*($E$2:E117="N")*($K$2:K117="Y")*(($C$2:C117="12:15 PM")+($C$2:C117="2:00 PM"))), "")</f>
        <v/>
      </c>
      <c r="AO117" s="119">
        <f>IF(AND(AD117="Y",C117="12:15 PM",E117="N",L117="Y"),COUNTIFS($AD$2:AD117,"Y",$C$2:C117,"12:15 PM",$E$2:E117,"N",$L$2:L117,"Y"),"")</f>
        <v/>
      </c>
      <c r="AP117" s="119">
        <f>IF(AND(AD117="Y",C117="2:00 PM",E117="N",L117="Y"),COUNTIFS($AD$2:AD117,"Y",$C$2:C117,"2:00 PM",$E$2:E117,"N",$L$2:L117,"Y"),"")</f>
        <v/>
      </c>
    </row>
    <row r="118" ht="14.25" customHeight="1" s="120">
      <c r="A118" s="231" t="inlineStr">
        <is>
          <t>EMP-0125</t>
        </is>
      </c>
      <c r="B118" s="232" t="inlineStr">
        <is>
          <t>Roget Rodriguez</t>
        </is>
      </c>
      <c r="C118" s="232" t="inlineStr">
        <is>
          <t>2:00 PM</t>
        </is>
      </c>
      <c r="D118" s="232" t="inlineStr">
        <is>
          <t>Tue, Wed</t>
        </is>
      </c>
      <c r="E118" s="232" t="inlineStr">
        <is>
          <t>Y</t>
        </is>
      </c>
      <c r="F118" s="232" t="inlineStr">
        <is>
          <t>N</t>
        </is>
      </c>
      <c r="G118" s="232" t="inlineStr">
        <is>
          <t>Y</t>
        </is>
      </c>
      <c r="H118" s="232" t="inlineStr">
        <is>
          <t>None</t>
        </is>
      </c>
      <c r="I118" s="232" t="inlineStr">
        <is>
          <t>Y</t>
        </is>
      </c>
      <c r="J118" s="232" t="inlineStr">
        <is>
          <t>Y</t>
        </is>
      </c>
      <c r="K118" s="232" t="inlineStr">
        <is>
          <t>N</t>
        </is>
      </c>
      <c r="L118" s="232" t="inlineStr">
        <is>
          <t>Y</t>
        </is>
      </c>
      <c r="M118" s="232" t="inlineStr">
        <is>
          <t>Standard</t>
        </is>
      </c>
      <c r="N118" s="232" t="n"/>
      <c r="O118" s="232" t="n"/>
      <c r="P118" s="232" t="inlineStr">
        <is>
          <t>N</t>
        </is>
      </c>
      <c r="Q118" s="232" t="n"/>
      <c r="R118" s="232" t="n"/>
      <c r="S118" s="232" t="n"/>
      <c r="T118" s="233" t="inlineStr">
        <is>
          <t>N</t>
        </is>
      </c>
      <c r="U118" s="227">
        <f>IF($B118="","",IF(AND($G118="Y",ISERROR(SEARCH(TEXT('Control Center'!$B$3,"ddd"),TRIM($D118)))),"Y","N"))</f>
        <v/>
      </c>
      <c r="V118" s="227">
        <f>IF($B118="","",IF(AND($U118="Y",OR($C118="3:45 AM",$C118="5:45 AM"),OR('Control Center'!$B$4="N",$K118&lt;&gt;"Y")),"Y","N"))</f>
        <v/>
      </c>
      <c r="W118" s="227">
        <f>IF($B118="","",IF(AND($U118="Y",OR($C118="12:15 PM",$C118="2:00 PM"),OR('Control Center'!$B$5="N",$K118&lt;&gt;"Y")),"Y","N"))</f>
        <v/>
      </c>
      <c r="X118" s="228" t="n"/>
      <c r="Y118" s="229" t="n"/>
      <c r="Z118" s="228" t="n"/>
      <c r="AA118" s="229" t="n"/>
      <c r="AB118" s="230">
        <f>IF($B118="","",IF($P118="Y",IF($Y118="Y","Completed","In Progress"),""))</f>
        <v/>
      </c>
      <c r="AC118" s="119">
        <f>IF($B118="","",IF(COUNTIFS('Approved Absences'!$A$2:$A$200,$B118,'Approved Absences'!$B$2:$B$200,"&lt;="&amp;INT('Control Center'!$B$3),'Approved Absences'!$C$2:$C$200,"&gt;="&amp;INT('Control Center'!$B$3))&gt;0,"Y","N"))</f>
        <v/>
      </c>
      <c r="AD118" s="119">
        <f>IF($B118="","",IF(AND($G118="Y",$AC118&lt;&gt;"Y",ISERROR(SEARCH(TEXT('Control Center'!$B$3,"ddd"),TRIM($D118)))),"Y","N"))</f>
        <v/>
      </c>
      <c r="AE118" s="119">
        <f>IF(AND(AD118="Y",C118="3:45 AM",E118="N",K118&lt;&gt;"Y"),COUNTIFS($AD$2:AD118,"Y",$C$2:C118,"3:45 AM",$E$2:E118,"N",$K$2:K118,"&lt;&gt;Y"),"")</f>
        <v/>
      </c>
      <c r="AF118" s="119">
        <f>IF(AND(AD118="Y",C118="5:45 AM",E118="N",K118&lt;&gt;"Y"),COUNTIFS($AD$2:AD118,"Y",$C$2:C118,"5:45 AM",$E$2:E118,"N",$K$2:K118,"&lt;&gt;Y"),"")</f>
        <v/>
      </c>
      <c r="AG118" s="119">
        <f>IF(AND(AD118="Y",C118="3:45 AM",E118="N",L118="Y",K118&lt;&gt;"Y"),COUNTIFS($AD$2:AD118,"Y",$C$2:C118,"3:45 AM",$E$2:E118,"N",$L$2:L118,"Y",$K$2:K118,"&lt;&gt;Y"),"")</f>
        <v/>
      </c>
      <c r="AH118" s="119">
        <f>IF(AND(AD118="Y",C118="5:45 AM",E118="N",L118="Y",K118&lt;&gt;"Y"),COUNTIFS($AD$2:AD118,"Y",$C$2:C118,"5:45 AM",$E$2:E118,"N",$L$2:L118,"Y",$K$2:K118,"&lt;&gt;Y"),"")</f>
        <v/>
      </c>
      <c r="AI118" s="119">
        <f>IF(AND(AD118="Y",E118="N",K118="Y",OR(C118="3:45 AM",C118="5:45 AM")),SUMPRODUCT(($AD$2:AD118="Y")*($E$2:E118="N")*($K$2:K118="Y")*(($C$2:C118="3:45 AM")+($C$2:C118="5:45 AM"))), "")</f>
        <v/>
      </c>
      <c r="AJ118" s="119">
        <f>IF(AND(AD118="Y",C118="3:45 AM",E118="N",J118="Y"),COUNTIFS($AD$2:AD118,"Y",$C$2:C118,"3:45 AM",$E$2:E118,"N",$J$2:J118,"Y"),"")</f>
        <v/>
      </c>
      <c r="AK118" s="119">
        <f>IF(AND(AD118="Y",E118="N",I118="Y",OR(C118="3:45 AM",C118="5:45 AM")),SUMPRODUCT(($AD$2:AD118="Y")*($E$2:E118="N")*($I$2:I118="Y")*(($C$2:C118="3:45 AM")+($C$2:C118="5:45 AM"))), "")</f>
        <v/>
      </c>
      <c r="AL118" s="119">
        <f>IF(AND(AD118="Y",C118="12:15 PM",E118="N",K118&lt;&gt;"Y"),COUNTIFS($AD$2:AD118,"Y",$C$2:C118,"12:15 PM",$E$2:E118,"N",$K$2:K118,"&lt;&gt;Y"),"")</f>
        <v/>
      </c>
      <c r="AM118" s="119">
        <f>IF(AND(AD118="Y",C118="2:00 PM",E118="N",K118&lt;&gt;"Y"),COUNTIFS($AD$2:AD118,"Y",$C$2:C118,"2:00 PM",$E$2:E118,"N",$K$2:K118,"&lt;&gt;Y"),"")</f>
        <v/>
      </c>
      <c r="AN118" s="119">
        <f>IF(AND(AD118="Y",E118="N",K118="Y",OR(C118="12:15 PM",C118="2:00 PM")),SUMPRODUCT(($AD$2:AD118="Y")*($E$2:E118="N")*($K$2:K118="Y")*(($C$2:C118="12:15 PM")+($C$2:C118="2:00 PM"))), "")</f>
        <v/>
      </c>
      <c r="AO118" s="119">
        <f>IF(AND(AD118="Y",C118="12:15 PM",E118="N",L118="Y"),COUNTIFS($AD$2:AD118,"Y",$C$2:C118,"12:15 PM",$E$2:E118,"N",$L$2:L118,"Y"),"")</f>
        <v/>
      </c>
      <c r="AP118" s="119">
        <f>IF(AND(AD118="Y",C118="2:00 PM",E118="N",L118="Y"),COUNTIFS($AD$2:AD118,"Y",$C$2:C118,"2:00 PM",$E$2:E118,"N",$L$2:L118,"Y"),"")</f>
        <v/>
      </c>
    </row>
    <row r="119" ht="14.25" customHeight="1" s="120">
      <c r="A119" s="231" t="inlineStr">
        <is>
          <t>EMP-0126</t>
        </is>
      </c>
      <c r="B119" s="232" t="inlineStr">
        <is>
          <t>Rozita Davis</t>
        </is>
      </c>
      <c r="C119" s="232" t="inlineStr">
        <is>
          <t>2:00 PM</t>
        </is>
      </c>
      <c r="D119" s="232" t="inlineStr">
        <is>
          <t>Sun, Fri</t>
        </is>
      </c>
      <c r="E119" s="232" t="inlineStr">
        <is>
          <t>N</t>
        </is>
      </c>
      <c r="F119" s="232" t="inlineStr">
        <is>
          <t>N</t>
        </is>
      </c>
      <c r="G119" s="232" t="inlineStr">
        <is>
          <t>Y</t>
        </is>
      </c>
      <c r="H119" s="232" t="inlineStr">
        <is>
          <t>7:00 PM</t>
        </is>
      </c>
      <c r="I119" s="232" t="inlineStr">
        <is>
          <t>Y</t>
        </is>
      </c>
      <c r="J119" s="232" t="inlineStr">
        <is>
          <t>Y</t>
        </is>
      </c>
      <c r="K119" s="232" t="inlineStr">
        <is>
          <t>N</t>
        </is>
      </c>
      <c r="L119" s="232" t="inlineStr">
        <is>
          <t>Y</t>
        </is>
      </c>
      <c r="M119" s="232" t="inlineStr">
        <is>
          <t>Standard</t>
        </is>
      </c>
      <c r="N119" s="232" t="n"/>
      <c r="O119" s="232" t="n"/>
      <c r="P119" s="232" t="inlineStr">
        <is>
          <t>N</t>
        </is>
      </c>
      <c r="Q119" s="232" t="n"/>
      <c r="R119" s="232" t="n"/>
      <c r="S119" s="232" t="n"/>
      <c r="T119" s="233" t="inlineStr">
        <is>
          <t>N</t>
        </is>
      </c>
      <c r="U119" s="227">
        <f>IF($B119="","",IF(AND($G119="Y",ISERROR(SEARCH(TEXT('Control Center'!$B$3,"ddd"),TRIM($D119)))),"Y","N"))</f>
        <v/>
      </c>
      <c r="V119" s="227">
        <f>IF($B119="","",IF(AND($U119="Y",OR($C119="3:45 AM",$C119="5:45 AM"),OR('Control Center'!$B$4="N",$K119&lt;&gt;"Y")),"Y","N"))</f>
        <v/>
      </c>
      <c r="W119" s="227">
        <f>IF($B119="","",IF(AND($U119="Y",OR($C119="12:15 PM",$C119="2:00 PM"),OR('Control Center'!$B$5="N",$K119&lt;&gt;"Y")),"Y","N"))</f>
        <v/>
      </c>
      <c r="X119" s="228" t="n"/>
      <c r="Y119" s="229" t="n"/>
      <c r="Z119" s="228" t="n"/>
      <c r="AA119" s="229" t="n"/>
      <c r="AB119" s="230">
        <f>IF($B119="","",IF($P119="Y",IF($Y119="Y","Completed","In Progress"),""))</f>
        <v/>
      </c>
      <c r="AC119" s="119">
        <f>IF($B119="","",IF(COUNTIFS('Approved Absences'!$A$2:$A$200,$B119,'Approved Absences'!$B$2:$B$200,"&lt;="&amp;INT('Control Center'!$B$3),'Approved Absences'!$C$2:$C$200,"&gt;="&amp;INT('Control Center'!$B$3))&gt;0,"Y","N"))</f>
        <v/>
      </c>
      <c r="AD119" s="119">
        <f>IF($B119="","",IF(AND($G119="Y",$AC119&lt;&gt;"Y",ISERROR(SEARCH(TEXT('Control Center'!$B$3,"ddd"),TRIM($D119)))),"Y","N"))</f>
        <v/>
      </c>
      <c r="AE119" s="119">
        <f>IF(AND(AD119="Y",C119="3:45 AM",E119="N",K119&lt;&gt;"Y"),COUNTIFS($AD$2:AD119,"Y",$C$2:C119,"3:45 AM",$E$2:E119,"N",$K$2:K119,"&lt;&gt;Y"),"")</f>
        <v/>
      </c>
      <c r="AF119" s="119">
        <f>IF(AND(AD119="Y",C119="5:45 AM",E119="N",K119&lt;&gt;"Y"),COUNTIFS($AD$2:AD119,"Y",$C$2:C119,"5:45 AM",$E$2:E119,"N",$K$2:K119,"&lt;&gt;Y"),"")</f>
        <v/>
      </c>
      <c r="AG119" s="119">
        <f>IF(AND(AD119="Y",C119="3:45 AM",E119="N",L119="Y",K119&lt;&gt;"Y"),COUNTIFS($AD$2:AD119,"Y",$C$2:C119,"3:45 AM",$E$2:E119,"N",$L$2:L119,"Y",$K$2:K119,"&lt;&gt;Y"),"")</f>
        <v/>
      </c>
      <c r="AH119" s="119">
        <f>IF(AND(AD119="Y",C119="5:45 AM",E119="N",L119="Y",K119&lt;&gt;"Y"),COUNTIFS($AD$2:AD119,"Y",$C$2:C119,"5:45 AM",$E$2:E119,"N",$L$2:L119,"Y",$K$2:K119,"&lt;&gt;Y"),"")</f>
        <v/>
      </c>
      <c r="AI119" s="119">
        <f>IF(AND(AD119="Y",E119="N",K119="Y",OR(C119="3:45 AM",C119="5:45 AM")),SUMPRODUCT(($AD$2:AD119="Y")*($E$2:E119="N")*($K$2:K119="Y")*(($C$2:C119="3:45 AM")+($C$2:C119="5:45 AM"))), "")</f>
        <v/>
      </c>
      <c r="AJ119" s="119">
        <f>IF(AND(AD119="Y",C119="3:45 AM",E119="N",J119="Y"),COUNTIFS($AD$2:AD119,"Y",$C$2:C119,"3:45 AM",$E$2:E119,"N",$J$2:J119,"Y"),"")</f>
        <v/>
      </c>
      <c r="AK119" s="119">
        <f>IF(AND(AD119="Y",E119="N",I119="Y",OR(C119="3:45 AM",C119="5:45 AM")),SUMPRODUCT(($AD$2:AD119="Y")*($E$2:E119="N")*($I$2:I119="Y")*(($C$2:C119="3:45 AM")+($C$2:C119="5:45 AM"))), "")</f>
        <v/>
      </c>
      <c r="AL119" s="119">
        <f>IF(AND(AD119="Y",C119="12:15 PM",E119="N",K119&lt;&gt;"Y"),COUNTIFS($AD$2:AD119,"Y",$C$2:C119,"12:15 PM",$E$2:E119,"N",$K$2:K119,"&lt;&gt;Y"),"")</f>
        <v/>
      </c>
      <c r="AM119" s="119">
        <f>IF(AND(AD119="Y",C119="2:00 PM",E119="N",K119&lt;&gt;"Y"),COUNTIFS($AD$2:AD119,"Y",$C$2:C119,"2:00 PM",$E$2:E119,"N",$K$2:K119,"&lt;&gt;Y"),"")</f>
        <v/>
      </c>
      <c r="AN119" s="119">
        <f>IF(AND(AD119="Y",E119="N",K119="Y",OR(C119="12:15 PM",C119="2:00 PM")),SUMPRODUCT(($AD$2:AD119="Y")*($E$2:E119="N")*($K$2:K119="Y")*(($C$2:C119="12:15 PM")+($C$2:C119="2:00 PM"))), "")</f>
        <v/>
      </c>
      <c r="AO119" s="119">
        <f>IF(AND(AD119="Y",C119="12:15 PM",E119="N",L119="Y"),COUNTIFS($AD$2:AD119,"Y",$C$2:C119,"12:15 PM",$E$2:E119,"N",$L$2:L119,"Y"),"")</f>
        <v/>
      </c>
      <c r="AP119" s="119">
        <f>IF(AND(AD119="Y",C119="2:00 PM",E119="N",L119="Y"),COUNTIFS($AD$2:AD119,"Y",$C$2:C119,"2:00 PM",$E$2:E119,"N",$L$2:L119,"Y"),"")</f>
        <v/>
      </c>
    </row>
    <row r="120" ht="14.25" customHeight="1" s="120">
      <c r="A120" s="231" t="inlineStr">
        <is>
          <t>EMP-0165</t>
        </is>
      </c>
      <c r="B120" s="232" t="inlineStr">
        <is>
          <t>Salma Bardai</t>
        </is>
      </c>
      <c r="C120" s="232" t="inlineStr">
        <is>
          <t>5:45 AM</t>
        </is>
      </c>
      <c r="D120" s="232" t="inlineStr">
        <is>
          <t>Mon, Tue</t>
        </is>
      </c>
      <c r="E120" s="232" t="inlineStr">
        <is>
          <t>N</t>
        </is>
      </c>
      <c r="F120" s="232" t="inlineStr">
        <is>
          <t>N</t>
        </is>
      </c>
      <c r="G120" s="232" t="inlineStr">
        <is>
          <t>Y</t>
        </is>
      </c>
      <c r="H120" s="232" t="inlineStr">
        <is>
          <t>None</t>
        </is>
      </c>
      <c r="I120" s="232" t="inlineStr">
        <is>
          <t>N</t>
        </is>
      </c>
      <c r="J120" s="232" t="inlineStr">
        <is>
          <t>N</t>
        </is>
      </c>
      <c r="K120" s="232" t="inlineStr">
        <is>
          <t>N</t>
        </is>
      </c>
      <c r="L120" s="232" t="inlineStr">
        <is>
          <t>Y</t>
        </is>
      </c>
      <c r="M120" s="232" t="inlineStr">
        <is>
          <t>Standard</t>
        </is>
      </c>
      <c r="N120" s="232" t="n"/>
      <c r="O120" s="232" t="n"/>
      <c r="P120" s="232" t="inlineStr">
        <is>
          <t>N</t>
        </is>
      </c>
      <c r="Q120" s="232" t="n"/>
      <c r="R120" s="232" t="n"/>
      <c r="S120" s="232" t="n"/>
      <c r="T120" s="233" t="inlineStr">
        <is>
          <t>N</t>
        </is>
      </c>
      <c r="U120" s="227">
        <f>IF($B120="","",IF(AND($G120="Y",ISERROR(SEARCH(TEXT('Control Center'!$B$3,"ddd"),TRIM($D120)))),"Y","N"))</f>
        <v/>
      </c>
      <c r="V120" s="227">
        <f>IF($B120="","",IF(AND($U120="Y",OR($C120="3:45 AM",$C120="5:45 AM"),OR('Control Center'!$B$4="N",$K120&lt;&gt;"Y")),"Y","N"))</f>
        <v/>
      </c>
      <c r="W120" s="227">
        <f>IF($B120="","",IF(AND($U120="Y",OR($C120="12:15 PM",$C120="2:00 PM"),OR('Control Center'!$B$5="N",$K120&lt;&gt;"Y")),"Y","N"))</f>
        <v/>
      </c>
      <c r="X120" s="228" t="n"/>
      <c r="Y120" s="229" t="n"/>
      <c r="Z120" s="228" t="n"/>
      <c r="AA120" s="229" t="n"/>
      <c r="AB120" s="230">
        <f>IF($B120="","",IF($P120="Y",IF($Y120="Y","Completed","In Progress"),""))</f>
        <v/>
      </c>
      <c r="AC120" s="119">
        <f>IF($B120="","",IF(COUNTIFS('Approved Absences'!$A$2:$A$200,$B120,'Approved Absences'!$B$2:$B$200,"&lt;="&amp;INT('Control Center'!$B$3),'Approved Absences'!$C$2:$C$200,"&gt;="&amp;INT('Control Center'!$B$3))&gt;0,"Y","N"))</f>
        <v/>
      </c>
      <c r="AD120" s="119">
        <f>IF($B120="","",IF(AND($G120="Y",$AC120&lt;&gt;"Y",ISERROR(SEARCH(TEXT('Control Center'!$B$3,"ddd"),TRIM($D120)))),"Y","N"))</f>
        <v/>
      </c>
      <c r="AE120" s="119">
        <f>IF(AND(AD120="Y",C120="3:45 AM",E120="N",K120&lt;&gt;"Y"),COUNTIFS($AD$2:AD120,"Y",$C$2:C120,"3:45 AM",$E$2:E120,"N",$K$2:K120,"&lt;&gt;Y"),"")</f>
        <v/>
      </c>
      <c r="AF120" s="119">
        <f>IF(AND(AD120="Y",C120="5:45 AM",E120="N",K120&lt;&gt;"Y"),COUNTIFS($AD$2:AD120,"Y",$C$2:C120,"5:45 AM",$E$2:E120,"N",$K$2:K120,"&lt;&gt;Y"),"")</f>
        <v/>
      </c>
      <c r="AG120" s="119">
        <f>IF(AND(AD120="Y",C120="3:45 AM",E120="N",L120="Y",K120&lt;&gt;"Y"),COUNTIFS($AD$2:AD120,"Y",$C$2:C120,"3:45 AM",$E$2:E120,"N",$L$2:L120,"Y",$K$2:K120,"&lt;&gt;Y"),"")</f>
        <v/>
      </c>
      <c r="AH120" s="119">
        <f>IF(AND(AD120="Y",C120="5:45 AM",E120="N",L120="Y",K120&lt;&gt;"Y"),COUNTIFS($AD$2:AD120,"Y",$C$2:C120,"5:45 AM",$E$2:E120,"N",$L$2:L120,"Y",$K$2:K120,"&lt;&gt;Y"),"")</f>
        <v/>
      </c>
      <c r="AI120" s="119">
        <f>IF(AND(AD120="Y",E120="N",K120="Y",OR(C120="3:45 AM",C120="5:45 AM")),SUMPRODUCT(($AD$2:AD120="Y")*($E$2:E120="N")*($K$2:K120="Y")*(($C$2:C120="3:45 AM")+($C$2:C120="5:45 AM"))), "")</f>
        <v/>
      </c>
      <c r="AJ120" s="119">
        <f>IF(AND(AD120="Y",C120="3:45 AM",E120="N",J120="Y"),COUNTIFS($AD$2:AD120,"Y",$C$2:C120,"3:45 AM",$E$2:E120,"N",$J$2:J120,"Y"),"")</f>
        <v/>
      </c>
      <c r="AK120" s="119">
        <f>IF(AND(AD120="Y",E120="N",I120="Y",OR(C120="3:45 AM",C120="5:45 AM")),SUMPRODUCT(($AD$2:AD120="Y")*($E$2:E120="N")*($I$2:I120="Y")*(($C$2:C120="3:45 AM")+($C$2:C120="5:45 AM"))), "")</f>
        <v/>
      </c>
      <c r="AL120" s="119">
        <f>IF(AND(AD120="Y",C120="12:15 PM",E120="N",K120&lt;&gt;"Y"),COUNTIFS($AD$2:AD120,"Y",$C$2:C120,"12:15 PM",$E$2:E120,"N",$K$2:K120,"&lt;&gt;Y"),"")</f>
        <v/>
      </c>
      <c r="AM120" s="119">
        <f>IF(AND(AD120="Y",C120="2:00 PM",E120="N",K120&lt;&gt;"Y"),COUNTIFS($AD$2:AD120,"Y",$C$2:C120,"2:00 PM",$E$2:E120,"N",$K$2:K120,"&lt;&gt;Y"),"")</f>
        <v/>
      </c>
      <c r="AN120" s="119">
        <f>IF(AND(AD120="Y",E120="N",K120="Y",OR(C120="12:15 PM",C120="2:00 PM")),SUMPRODUCT(($AD$2:AD120="Y")*($E$2:E120="N")*($K$2:K120="Y")*(($C$2:C120="12:15 PM")+($C$2:C120="2:00 PM"))), "")</f>
        <v/>
      </c>
      <c r="AO120" s="119">
        <f>IF(AND(AD120="Y",C120="12:15 PM",E120="N",L120="Y"),COUNTIFS($AD$2:AD120,"Y",$C$2:C120,"12:15 PM",$E$2:E120,"N",$L$2:L120,"Y"),"")</f>
        <v/>
      </c>
      <c r="AP120" s="119">
        <f>IF(AND(AD120="Y",C120="2:00 PM",E120="N",L120="Y"),COUNTIFS($AD$2:AD120,"Y",$C$2:C120,"2:00 PM",$E$2:E120,"N",$L$2:L120,"Y"),"")</f>
        <v/>
      </c>
    </row>
    <row r="121" ht="14.25" customHeight="1" s="120">
      <c r="A121" s="231" t="inlineStr">
        <is>
          <t>EMP-0127</t>
        </is>
      </c>
      <c r="B121" s="232" t="inlineStr">
        <is>
          <t>Samiroe Ford</t>
        </is>
      </c>
      <c r="C121" s="232" t="inlineStr">
        <is>
          <t>5:45 AM</t>
        </is>
      </c>
      <c r="D121" s="232" t="inlineStr">
        <is>
          <t>Wed, Thu</t>
        </is>
      </c>
      <c r="E121" s="232" t="inlineStr">
        <is>
          <t>N</t>
        </is>
      </c>
      <c r="F121" s="232" t="inlineStr">
        <is>
          <t>N</t>
        </is>
      </c>
      <c r="G121" s="232" t="inlineStr">
        <is>
          <t>Y</t>
        </is>
      </c>
      <c r="H121" s="232" t="inlineStr">
        <is>
          <t>None</t>
        </is>
      </c>
      <c r="I121" s="232" t="inlineStr">
        <is>
          <t>N</t>
        </is>
      </c>
      <c r="J121" s="232" t="inlineStr">
        <is>
          <t>N</t>
        </is>
      </c>
      <c r="K121" s="232" t="inlineStr">
        <is>
          <t>N</t>
        </is>
      </c>
      <c r="L121" s="232" t="inlineStr">
        <is>
          <t>Y</t>
        </is>
      </c>
      <c r="M121" s="232" t="inlineStr">
        <is>
          <t>Standard</t>
        </is>
      </c>
      <c r="N121" s="232" t="n"/>
      <c r="O121" s="232" t="n"/>
      <c r="P121" s="232" t="inlineStr">
        <is>
          <t>N</t>
        </is>
      </c>
      <c r="Q121" s="232" t="n"/>
      <c r="R121" s="232" t="n"/>
      <c r="S121" s="232" t="n"/>
      <c r="T121" s="233" t="inlineStr">
        <is>
          <t>N</t>
        </is>
      </c>
      <c r="U121" s="227">
        <f>IF($B121="","",IF(AND($G121="Y",ISERROR(SEARCH(TEXT('Control Center'!$B$3,"ddd"),TRIM($D121)))),"Y","N"))</f>
        <v/>
      </c>
      <c r="V121" s="227">
        <f>IF($B121="","",IF(AND($U121="Y",OR($C121="3:45 AM",$C121="5:45 AM"),OR('Control Center'!$B$4="N",$K121&lt;&gt;"Y")),"Y","N"))</f>
        <v/>
      </c>
      <c r="W121" s="227">
        <f>IF($B121="","",IF(AND($U121="Y",OR($C121="12:15 PM",$C121="2:00 PM"),OR('Control Center'!$B$5="N",$K121&lt;&gt;"Y")),"Y","N"))</f>
        <v/>
      </c>
      <c r="X121" s="228" t="n"/>
      <c r="Y121" s="229" t="n"/>
      <c r="Z121" s="228" t="n"/>
      <c r="AA121" s="229" t="n"/>
      <c r="AB121" s="230">
        <f>IF($B121="","",IF($P121="Y",IF($Y121="Y","Completed","In Progress"),""))</f>
        <v/>
      </c>
      <c r="AC121" s="119">
        <f>IF($B121="","",IF(COUNTIFS('Approved Absences'!$A$2:$A$200,$B121,'Approved Absences'!$B$2:$B$200,"&lt;="&amp;INT('Control Center'!$B$3),'Approved Absences'!$C$2:$C$200,"&gt;="&amp;INT('Control Center'!$B$3))&gt;0,"Y","N"))</f>
        <v/>
      </c>
      <c r="AD121" s="119">
        <f>IF($B121="","",IF(AND($G121="Y",$AC121&lt;&gt;"Y",ISERROR(SEARCH(TEXT('Control Center'!$B$3,"ddd"),TRIM($D121)))),"Y","N"))</f>
        <v/>
      </c>
      <c r="AE121" s="119">
        <f>IF(AND(AD121="Y",C121="3:45 AM",E121="N",K121&lt;&gt;"Y"),COUNTIFS($AD$2:AD121,"Y",$C$2:C121,"3:45 AM",$E$2:E121,"N",$K$2:K121,"&lt;&gt;Y"),"")</f>
        <v/>
      </c>
      <c r="AF121" s="119">
        <f>IF(AND(AD121="Y",C121="5:45 AM",E121="N",K121&lt;&gt;"Y"),COUNTIFS($AD$2:AD121,"Y",$C$2:C121,"5:45 AM",$E$2:E121,"N",$K$2:K121,"&lt;&gt;Y"),"")</f>
        <v/>
      </c>
      <c r="AG121" s="119">
        <f>IF(AND(AD121="Y",C121="3:45 AM",E121="N",L121="Y",K121&lt;&gt;"Y"),COUNTIFS($AD$2:AD121,"Y",$C$2:C121,"3:45 AM",$E$2:E121,"N",$L$2:L121,"Y",$K$2:K121,"&lt;&gt;Y"),"")</f>
        <v/>
      </c>
      <c r="AH121" s="119">
        <f>IF(AND(AD121="Y",C121="5:45 AM",E121="N",L121="Y",K121&lt;&gt;"Y"),COUNTIFS($AD$2:AD121,"Y",$C$2:C121,"5:45 AM",$E$2:E121,"N",$L$2:L121,"Y",$K$2:K121,"&lt;&gt;Y"),"")</f>
        <v/>
      </c>
      <c r="AI121" s="119">
        <f>IF(AND(AD121="Y",E121="N",K121="Y",OR(C121="3:45 AM",C121="5:45 AM")),SUMPRODUCT(($AD$2:AD121="Y")*($E$2:E121="N")*($K$2:K121="Y")*(($C$2:C121="3:45 AM")+($C$2:C121="5:45 AM"))), "")</f>
        <v/>
      </c>
      <c r="AJ121" s="119">
        <f>IF(AND(AD121="Y",C121="3:45 AM",E121="N",J121="Y"),COUNTIFS($AD$2:AD121,"Y",$C$2:C121,"3:45 AM",$E$2:E121,"N",$J$2:J121,"Y"),"")</f>
        <v/>
      </c>
      <c r="AK121" s="119">
        <f>IF(AND(AD121="Y",E121="N",I121="Y",OR(C121="3:45 AM",C121="5:45 AM")),SUMPRODUCT(($AD$2:AD121="Y")*($E$2:E121="N")*($I$2:I121="Y")*(($C$2:C121="3:45 AM")+($C$2:C121="5:45 AM"))), "")</f>
        <v/>
      </c>
      <c r="AL121" s="119">
        <f>IF(AND(AD121="Y",C121="12:15 PM",E121="N",K121&lt;&gt;"Y"),COUNTIFS($AD$2:AD121,"Y",$C$2:C121,"12:15 PM",$E$2:E121,"N",$K$2:K121,"&lt;&gt;Y"),"")</f>
        <v/>
      </c>
      <c r="AM121" s="119">
        <f>IF(AND(AD121="Y",C121="2:00 PM",E121="N",K121&lt;&gt;"Y"),COUNTIFS($AD$2:AD121,"Y",$C$2:C121,"2:00 PM",$E$2:E121,"N",$K$2:K121,"&lt;&gt;Y"),"")</f>
        <v/>
      </c>
      <c r="AN121" s="119">
        <f>IF(AND(AD121="Y",E121="N",K121="Y",OR(C121="12:15 PM",C121="2:00 PM")),SUMPRODUCT(($AD$2:AD121="Y")*($E$2:E121="N")*($K$2:K121="Y")*(($C$2:C121="12:15 PM")+($C$2:C121="2:00 PM"))), "")</f>
        <v/>
      </c>
      <c r="AO121" s="119">
        <f>IF(AND(AD121="Y",C121="12:15 PM",E121="N",L121="Y"),COUNTIFS($AD$2:AD121,"Y",$C$2:C121,"12:15 PM",$E$2:E121,"N",$L$2:L121,"Y"),"")</f>
        <v/>
      </c>
      <c r="AP121" s="119">
        <f>IF(AND(AD121="Y",C121="2:00 PM",E121="N",L121="Y"),COUNTIFS($AD$2:AD121,"Y",$C$2:C121,"2:00 PM",$E$2:E121,"N",$L$2:L121,"Y"),"")</f>
        <v/>
      </c>
    </row>
    <row r="122" ht="14.25" customHeight="1" s="120">
      <c r="A122" s="231" t="inlineStr">
        <is>
          <t>EMP-0128</t>
        </is>
      </c>
      <c r="B122" s="232" t="inlineStr">
        <is>
          <t>Sandra Gerson</t>
        </is>
      </c>
      <c r="C122" s="232" t="inlineStr">
        <is>
          <t>5:45 AM</t>
        </is>
      </c>
      <c r="D122" s="232" t="inlineStr">
        <is>
          <t>Sat, Sun</t>
        </is>
      </c>
      <c r="E122" s="232" t="inlineStr">
        <is>
          <t>N</t>
        </is>
      </c>
      <c r="F122" s="232" t="inlineStr">
        <is>
          <t>N</t>
        </is>
      </c>
      <c r="G122" s="232" t="inlineStr">
        <is>
          <t>Y</t>
        </is>
      </c>
      <c r="H122" s="232" t="inlineStr">
        <is>
          <t>None</t>
        </is>
      </c>
      <c r="I122" s="232" t="inlineStr">
        <is>
          <t>Y</t>
        </is>
      </c>
      <c r="J122" s="232" t="inlineStr">
        <is>
          <t>N</t>
        </is>
      </c>
      <c r="K122" s="232" t="inlineStr">
        <is>
          <t>N</t>
        </is>
      </c>
      <c r="L122" s="232" t="inlineStr">
        <is>
          <t>N</t>
        </is>
      </c>
      <c r="M122" s="232" t="inlineStr">
        <is>
          <t>Standard</t>
        </is>
      </c>
      <c r="N122" s="232" t="n"/>
      <c r="O122" s="232" t="n"/>
      <c r="P122" s="232" t="inlineStr">
        <is>
          <t>N</t>
        </is>
      </c>
      <c r="Q122" s="232" t="n"/>
      <c r="R122" s="232" t="n"/>
      <c r="S122" s="232" t="n"/>
      <c r="T122" s="233" t="inlineStr">
        <is>
          <t>N</t>
        </is>
      </c>
      <c r="U122" s="227">
        <f>IF($B122="","",IF(AND($G122="Y",ISERROR(SEARCH(TEXT('Control Center'!$B$3,"ddd"),TRIM($D122)))),"Y","N"))</f>
        <v/>
      </c>
      <c r="V122" s="227">
        <f>IF($B122="","",IF(AND($U122="Y",OR($C122="3:45 AM",$C122="5:45 AM"),OR('Control Center'!$B$4="N",$K122&lt;&gt;"Y")),"Y","N"))</f>
        <v/>
      </c>
      <c r="W122" s="227">
        <f>IF($B122="","",IF(AND($U122="Y",OR($C122="12:15 PM",$C122="2:00 PM"),OR('Control Center'!$B$5="N",$K122&lt;&gt;"Y")),"Y","N"))</f>
        <v/>
      </c>
      <c r="X122" s="228" t="n"/>
      <c r="Y122" s="229" t="n"/>
      <c r="Z122" s="228" t="n"/>
      <c r="AA122" s="229" t="n"/>
      <c r="AB122" s="230">
        <f>IF($B122="","",IF($P122="Y",IF($Y122="Y","Completed","In Progress"),""))</f>
        <v/>
      </c>
      <c r="AC122" s="119">
        <f>IF($B122="","",IF(COUNTIFS('Approved Absences'!$A$2:$A$200,$B122,'Approved Absences'!$B$2:$B$200,"&lt;="&amp;INT('Control Center'!$B$3),'Approved Absences'!$C$2:$C$200,"&gt;="&amp;INT('Control Center'!$B$3))&gt;0,"Y","N"))</f>
        <v/>
      </c>
      <c r="AD122" s="119">
        <f>IF($B122="","",IF(AND($G122="Y",$AC122&lt;&gt;"Y",ISERROR(SEARCH(TEXT('Control Center'!$B$3,"ddd"),TRIM($D122)))),"Y","N"))</f>
        <v/>
      </c>
      <c r="AE122" s="119">
        <f>IF(AND(AD122="Y",C122="3:45 AM",E122="N",K122&lt;&gt;"Y"),COUNTIFS($AD$2:AD122,"Y",$C$2:C122,"3:45 AM",$E$2:E122,"N",$K$2:K122,"&lt;&gt;Y"),"")</f>
        <v/>
      </c>
      <c r="AF122" s="119">
        <f>IF(AND(AD122="Y",C122="5:45 AM",E122="N",K122&lt;&gt;"Y"),COUNTIFS($AD$2:AD122,"Y",$C$2:C122,"5:45 AM",$E$2:E122,"N",$K$2:K122,"&lt;&gt;Y"),"")</f>
        <v/>
      </c>
      <c r="AG122" s="119">
        <f>IF(AND(AD122="Y",C122="3:45 AM",E122="N",L122="Y",K122&lt;&gt;"Y"),COUNTIFS($AD$2:AD122,"Y",$C$2:C122,"3:45 AM",$E$2:E122,"N",$L$2:L122,"Y",$K$2:K122,"&lt;&gt;Y"),"")</f>
        <v/>
      </c>
      <c r="AH122" s="119">
        <f>IF(AND(AD122="Y",C122="5:45 AM",E122="N",L122="Y",K122&lt;&gt;"Y"),COUNTIFS($AD$2:AD122,"Y",$C$2:C122,"5:45 AM",$E$2:E122,"N",$L$2:L122,"Y",$K$2:K122,"&lt;&gt;Y"),"")</f>
        <v/>
      </c>
      <c r="AI122" s="119">
        <f>IF(AND(AD122="Y",E122="N",K122="Y",OR(C122="3:45 AM",C122="5:45 AM")),SUMPRODUCT(($AD$2:AD122="Y")*($E$2:E122="N")*($K$2:K122="Y")*(($C$2:C122="3:45 AM")+($C$2:C122="5:45 AM"))), "")</f>
        <v/>
      </c>
      <c r="AJ122" s="119">
        <f>IF(AND(AD122="Y",C122="3:45 AM",E122="N",J122="Y"),COUNTIFS($AD$2:AD122,"Y",$C$2:C122,"3:45 AM",$E$2:E122,"N",$J$2:J122,"Y"),"")</f>
        <v/>
      </c>
      <c r="AK122" s="119">
        <f>IF(AND(AD122="Y",E122="N",I122="Y",OR(C122="3:45 AM",C122="5:45 AM")),SUMPRODUCT(($AD$2:AD122="Y")*($E$2:E122="N")*($I$2:I122="Y")*(($C$2:C122="3:45 AM")+($C$2:C122="5:45 AM"))), "")</f>
        <v/>
      </c>
      <c r="AL122" s="119">
        <f>IF(AND(AD122="Y",C122="12:15 PM",E122="N",K122&lt;&gt;"Y"),COUNTIFS($AD$2:AD122,"Y",$C$2:C122,"12:15 PM",$E$2:E122,"N",$K$2:K122,"&lt;&gt;Y"),"")</f>
        <v/>
      </c>
      <c r="AM122" s="119">
        <f>IF(AND(AD122="Y",C122="2:00 PM",E122="N",K122&lt;&gt;"Y"),COUNTIFS($AD$2:AD122,"Y",$C$2:C122,"2:00 PM",$E$2:E122,"N",$K$2:K122,"&lt;&gt;Y"),"")</f>
        <v/>
      </c>
      <c r="AN122" s="119">
        <f>IF(AND(AD122="Y",E122="N",K122="Y",OR(C122="12:15 PM",C122="2:00 PM")),SUMPRODUCT(($AD$2:AD122="Y")*($E$2:E122="N")*($K$2:K122="Y")*(($C$2:C122="12:15 PM")+($C$2:C122="2:00 PM"))), "")</f>
        <v/>
      </c>
      <c r="AO122" s="119">
        <f>IF(AND(AD122="Y",C122="12:15 PM",E122="N",L122="Y"),COUNTIFS($AD$2:AD122,"Y",$C$2:C122,"12:15 PM",$E$2:E122,"N",$L$2:L122,"Y"),"")</f>
        <v/>
      </c>
      <c r="AP122" s="119">
        <f>IF(AND(AD122="Y",C122="2:00 PM",E122="N",L122="Y"),COUNTIFS($AD$2:AD122,"Y",$C$2:C122,"2:00 PM",$E$2:E122,"N",$L$2:L122,"Y"),"")</f>
        <v/>
      </c>
    </row>
    <row r="123" ht="14.25" customHeight="1" s="120">
      <c r="A123" s="231" t="inlineStr">
        <is>
          <t>EMP-0129</t>
        </is>
      </c>
      <c r="B123" s="232" t="inlineStr">
        <is>
          <t>Sara Alemu</t>
        </is>
      </c>
      <c r="C123" s="232" t="inlineStr">
        <is>
          <t>5:45 AM</t>
        </is>
      </c>
      <c r="D123" s="232" t="inlineStr">
        <is>
          <t>Wed, Thu</t>
        </is>
      </c>
      <c r="E123" s="232" t="inlineStr">
        <is>
          <t>N</t>
        </is>
      </c>
      <c r="F123" s="232" t="inlineStr">
        <is>
          <t>N</t>
        </is>
      </c>
      <c r="G123" s="232" t="inlineStr">
        <is>
          <t>Y</t>
        </is>
      </c>
      <c r="H123" s="232" t="inlineStr">
        <is>
          <t>None</t>
        </is>
      </c>
      <c r="I123" s="232" t="inlineStr">
        <is>
          <t>N</t>
        </is>
      </c>
      <c r="J123" s="232" t="inlineStr">
        <is>
          <t>N</t>
        </is>
      </c>
      <c r="K123" s="232" t="inlineStr">
        <is>
          <t>N</t>
        </is>
      </c>
      <c r="L123" s="232" t="inlineStr">
        <is>
          <t>Y</t>
        </is>
      </c>
      <c r="M123" s="232" t="inlineStr">
        <is>
          <t>Standard</t>
        </is>
      </c>
      <c r="N123" s="232" t="n"/>
      <c r="O123" s="232" t="n"/>
      <c r="P123" s="232" t="inlineStr">
        <is>
          <t>N</t>
        </is>
      </c>
      <c r="Q123" s="232" t="n"/>
      <c r="R123" s="232" t="n"/>
      <c r="S123" s="232" t="n"/>
      <c r="T123" s="233" t="inlineStr">
        <is>
          <t>N</t>
        </is>
      </c>
      <c r="U123" s="227">
        <f>IF($B123="","",IF(AND($G123="Y",ISERROR(SEARCH(TEXT('Control Center'!$B$3,"ddd"),TRIM($D123)))),"Y","N"))</f>
        <v/>
      </c>
      <c r="V123" s="227">
        <f>IF($B123="","",IF(AND($U123="Y",OR($C123="3:45 AM",$C123="5:45 AM"),OR('Control Center'!$B$4="N",$K123&lt;&gt;"Y")),"Y","N"))</f>
        <v/>
      </c>
      <c r="W123" s="227">
        <f>IF($B123="","",IF(AND($U123="Y",OR($C123="12:15 PM",$C123="2:00 PM"),OR('Control Center'!$B$5="N",$K123&lt;&gt;"Y")),"Y","N"))</f>
        <v/>
      </c>
      <c r="X123" s="228" t="n"/>
      <c r="Y123" s="229" t="n"/>
      <c r="Z123" s="228" t="n"/>
      <c r="AA123" s="229" t="n"/>
      <c r="AB123" s="230">
        <f>IF($B123="","",IF($P123="Y",IF($Y123="Y","Completed","In Progress"),""))</f>
        <v/>
      </c>
      <c r="AC123" s="119">
        <f>IF($B123="","",IF(COUNTIFS('Approved Absences'!$A$2:$A$200,$B123,'Approved Absences'!$B$2:$B$200,"&lt;="&amp;INT('Control Center'!$B$3),'Approved Absences'!$C$2:$C$200,"&gt;="&amp;INT('Control Center'!$B$3))&gt;0,"Y","N"))</f>
        <v/>
      </c>
      <c r="AD123" s="119">
        <f>IF($B123="","",IF(AND($G123="Y",$AC123&lt;&gt;"Y",ISERROR(SEARCH(TEXT('Control Center'!$B$3,"ddd"),TRIM($D123)))),"Y","N"))</f>
        <v/>
      </c>
      <c r="AE123" s="119">
        <f>IF(AND(AD123="Y",C123="3:45 AM",E123="N",K123&lt;&gt;"Y"),COUNTIFS($AD$2:AD123,"Y",$C$2:C123,"3:45 AM",$E$2:E123,"N",$K$2:K123,"&lt;&gt;Y"),"")</f>
        <v/>
      </c>
      <c r="AF123" s="119">
        <f>IF(AND(AD123="Y",C123="5:45 AM",E123="N",K123&lt;&gt;"Y"),COUNTIFS($AD$2:AD123,"Y",$C$2:C123,"5:45 AM",$E$2:E123,"N",$K$2:K123,"&lt;&gt;Y"),"")</f>
        <v/>
      </c>
      <c r="AG123" s="119">
        <f>IF(AND(AD123="Y",C123="3:45 AM",E123="N",L123="Y",K123&lt;&gt;"Y"),COUNTIFS($AD$2:AD123,"Y",$C$2:C123,"3:45 AM",$E$2:E123,"N",$L$2:L123,"Y",$K$2:K123,"&lt;&gt;Y"),"")</f>
        <v/>
      </c>
      <c r="AH123" s="119">
        <f>IF(AND(AD123="Y",C123="5:45 AM",E123="N",L123="Y",K123&lt;&gt;"Y"),COUNTIFS($AD$2:AD123,"Y",$C$2:C123,"5:45 AM",$E$2:E123,"N",$L$2:L123,"Y",$K$2:K123,"&lt;&gt;Y"),"")</f>
        <v/>
      </c>
      <c r="AI123" s="119">
        <f>IF(AND(AD123="Y",E123="N",K123="Y",OR(C123="3:45 AM",C123="5:45 AM")),SUMPRODUCT(($AD$2:AD123="Y")*($E$2:E123="N")*($K$2:K123="Y")*(($C$2:C123="3:45 AM")+($C$2:C123="5:45 AM"))), "")</f>
        <v/>
      </c>
      <c r="AJ123" s="119">
        <f>IF(AND(AD123="Y",C123="3:45 AM",E123="N",J123="Y"),COUNTIFS($AD$2:AD123,"Y",$C$2:C123,"3:45 AM",$E$2:E123,"N",$J$2:J123,"Y"),"")</f>
        <v/>
      </c>
      <c r="AK123" s="119">
        <f>IF(AND(AD123="Y",E123="N",I123="Y",OR(C123="3:45 AM",C123="5:45 AM")),SUMPRODUCT(($AD$2:AD123="Y")*($E$2:E123="N")*($I$2:I123="Y")*(($C$2:C123="3:45 AM")+($C$2:C123="5:45 AM"))), "")</f>
        <v/>
      </c>
      <c r="AL123" s="119">
        <f>IF(AND(AD123="Y",C123="12:15 PM",E123="N",K123&lt;&gt;"Y"),COUNTIFS($AD$2:AD123,"Y",$C$2:C123,"12:15 PM",$E$2:E123,"N",$K$2:K123,"&lt;&gt;Y"),"")</f>
        <v/>
      </c>
      <c r="AM123" s="119">
        <f>IF(AND(AD123="Y",C123="2:00 PM",E123="N",K123&lt;&gt;"Y"),COUNTIFS($AD$2:AD123,"Y",$C$2:C123,"2:00 PM",$E$2:E123,"N",$K$2:K123,"&lt;&gt;Y"),"")</f>
        <v/>
      </c>
      <c r="AN123" s="119">
        <f>IF(AND(AD123="Y",E123="N",K123="Y",OR(C123="12:15 PM",C123="2:00 PM")),SUMPRODUCT(($AD$2:AD123="Y")*($E$2:E123="N")*($K$2:K123="Y")*(($C$2:C123="12:15 PM")+($C$2:C123="2:00 PM"))), "")</f>
        <v/>
      </c>
      <c r="AO123" s="119">
        <f>IF(AND(AD123="Y",C123="12:15 PM",E123="N",L123="Y"),COUNTIFS($AD$2:AD123,"Y",$C$2:C123,"12:15 PM",$E$2:E123,"N",$L$2:L123,"Y"),"")</f>
        <v/>
      </c>
      <c r="AP123" s="119">
        <f>IF(AND(AD123="Y",C123="2:00 PM",E123="N",L123="Y"),COUNTIFS($AD$2:AD123,"Y",$C$2:C123,"2:00 PM",$E$2:E123,"N",$L$2:L123,"Y"),"")</f>
        <v/>
      </c>
    </row>
    <row r="124" ht="14.25" customHeight="1" s="120">
      <c r="A124" s="231" t="inlineStr">
        <is>
          <t>EMP-0130</t>
        </is>
      </c>
      <c r="B124" s="232" t="inlineStr">
        <is>
          <t>Sarah Harden</t>
        </is>
      </c>
      <c r="C124" s="232" t="inlineStr">
        <is>
          <t>12:15 PM</t>
        </is>
      </c>
      <c r="D124" s="232" t="inlineStr">
        <is>
          <t>Sun, Mon</t>
        </is>
      </c>
      <c r="E124" s="232" t="inlineStr">
        <is>
          <t>N</t>
        </is>
      </c>
      <c r="F124" s="232" t="inlineStr">
        <is>
          <t>N</t>
        </is>
      </c>
      <c r="G124" s="232" t="inlineStr">
        <is>
          <t>Y</t>
        </is>
      </c>
      <c r="H124" s="232" t="inlineStr">
        <is>
          <t>3:00 PM</t>
        </is>
      </c>
      <c r="I124" s="232" t="inlineStr">
        <is>
          <t>Y</t>
        </is>
      </c>
      <c r="J124" s="232" t="inlineStr">
        <is>
          <t>N</t>
        </is>
      </c>
      <c r="K124" s="232" t="inlineStr">
        <is>
          <t>N</t>
        </is>
      </c>
      <c r="L124" s="232" t="inlineStr">
        <is>
          <t>N</t>
        </is>
      </c>
      <c r="M124" s="232" t="inlineStr">
        <is>
          <t>Standard</t>
        </is>
      </c>
      <c r="N124" s="232" t="n"/>
      <c r="O124" s="232" t="n"/>
      <c r="P124" s="232" t="inlineStr">
        <is>
          <t>N</t>
        </is>
      </c>
      <c r="Q124" s="232" t="n"/>
      <c r="R124" s="232" t="n"/>
      <c r="S124" s="232" t="n"/>
      <c r="T124" s="233" t="inlineStr">
        <is>
          <t>N</t>
        </is>
      </c>
      <c r="U124" s="227">
        <f>IF($B124="","",IF(AND($G124="Y",ISERROR(SEARCH(TEXT('Control Center'!$B$3,"ddd"),TRIM($D124)))),"Y","N"))</f>
        <v/>
      </c>
      <c r="V124" s="227">
        <f>IF($B124="","",IF(AND($U124="Y",OR($C124="3:45 AM",$C124="5:45 AM"),OR('Control Center'!$B$4="N",$K124&lt;&gt;"Y")),"Y","N"))</f>
        <v/>
      </c>
      <c r="W124" s="227">
        <f>IF($B124="","",IF(AND($U124="Y",OR($C124="12:15 PM",$C124="2:00 PM"),OR('Control Center'!$B$5="N",$K124&lt;&gt;"Y")),"Y","N"))</f>
        <v/>
      </c>
      <c r="X124" s="228" t="n"/>
      <c r="Y124" s="229" t="n"/>
      <c r="Z124" s="228" t="n"/>
      <c r="AA124" s="229" t="n"/>
      <c r="AB124" s="230">
        <f>IF($B124="","",IF($P124="Y",IF($Y124="Y","Completed","In Progress"),""))</f>
        <v/>
      </c>
      <c r="AC124" s="119">
        <f>IF($B124="","",IF(COUNTIFS('Approved Absences'!$A$2:$A$200,$B124,'Approved Absences'!$B$2:$B$200,"&lt;="&amp;INT('Control Center'!$B$3),'Approved Absences'!$C$2:$C$200,"&gt;="&amp;INT('Control Center'!$B$3))&gt;0,"Y","N"))</f>
        <v/>
      </c>
      <c r="AD124" s="119">
        <f>IF($B124="","",IF(AND($G124="Y",$AC124&lt;&gt;"Y",ISERROR(SEARCH(TEXT('Control Center'!$B$3,"ddd"),TRIM($D124)))),"Y","N"))</f>
        <v/>
      </c>
      <c r="AE124" s="119">
        <f>IF(AND(AD124="Y",C124="3:45 AM",E124="N",K124&lt;&gt;"Y"),COUNTIFS($AD$2:AD124,"Y",$C$2:C124,"3:45 AM",$E$2:E124,"N",$K$2:K124,"&lt;&gt;Y"),"")</f>
        <v/>
      </c>
      <c r="AF124" s="119">
        <f>IF(AND(AD124="Y",C124="5:45 AM",E124="N",K124&lt;&gt;"Y"),COUNTIFS($AD$2:AD124,"Y",$C$2:C124,"5:45 AM",$E$2:E124,"N",$K$2:K124,"&lt;&gt;Y"),"")</f>
        <v/>
      </c>
      <c r="AG124" s="119">
        <f>IF(AND(AD124="Y",C124="3:45 AM",E124="N",L124="Y",K124&lt;&gt;"Y"),COUNTIFS($AD$2:AD124,"Y",$C$2:C124,"3:45 AM",$E$2:E124,"N",$L$2:L124,"Y",$K$2:K124,"&lt;&gt;Y"),"")</f>
        <v/>
      </c>
      <c r="AH124" s="119">
        <f>IF(AND(AD124="Y",C124="5:45 AM",E124="N",L124="Y",K124&lt;&gt;"Y"),COUNTIFS($AD$2:AD124,"Y",$C$2:C124,"5:45 AM",$E$2:E124,"N",$L$2:L124,"Y",$K$2:K124,"&lt;&gt;Y"),"")</f>
        <v/>
      </c>
      <c r="AI124" s="119">
        <f>IF(AND(AD124="Y",E124="N",K124="Y",OR(C124="3:45 AM",C124="5:45 AM")),SUMPRODUCT(($AD$2:AD124="Y")*($E$2:E124="N")*($K$2:K124="Y")*(($C$2:C124="3:45 AM")+($C$2:C124="5:45 AM"))), "")</f>
        <v/>
      </c>
      <c r="AJ124" s="119">
        <f>IF(AND(AD124="Y",C124="3:45 AM",E124="N",J124="Y"),COUNTIFS($AD$2:AD124,"Y",$C$2:C124,"3:45 AM",$E$2:E124,"N",$J$2:J124,"Y"),"")</f>
        <v/>
      </c>
      <c r="AK124" s="119">
        <f>IF(AND(AD124="Y",E124="N",I124="Y",OR(C124="3:45 AM",C124="5:45 AM")),SUMPRODUCT(($AD$2:AD124="Y")*($E$2:E124="N")*($I$2:I124="Y")*(($C$2:C124="3:45 AM")+($C$2:C124="5:45 AM"))), "")</f>
        <v/>
      </c>
      <c r="AL124" s="119">
        <f>IF(AND(AD124="Y",C124="12:15 PM",E124="N",K124&lt;&gt;"Y"),COUNTIFS($AD$2:AD124,"Y",$C$2:C124,"12:15 PM",$E$2:E124,"N",$K$2:K124,"&lt;&gt;Y"),"")</f>
        <v/>
      </c>
      <c r="AM124" s="119">
        <f>IF(AND(AD124="Y",C124="2:00 PM",E124="N",K124&lt;&gt;"Y"),COUNTIFS($AD$2:AD124,"Y",$C$2:C124,"2:00 PM",$E$2:E124,"N",$K$2:K124,"&lt;&gt;Y"),"")</f>
        <v/>
      </c>
      <c r="AN124" s="119">
        <f>IF(AND(AD124="Y",E124="N",K124="Y",OR(C124="12:15 PM",C124="2:00 PM")),SUMPRODUCT(($AD$2:AD124="Y")*($E$2:E124="N")*($K$2:K124="Y")*(($C$2:C124="12:15 PM")+($C$2:C124="2:00 PM"))), "")</f>
        <v/>
      </c>
      <c r="AO124" s="119">
        <f>IF(AND(AD124="Y",C124="12:15 PM",E124="N",L124="Y"),COUNTIFS($AD$2:AD124,"Y",$C$2:C124,"12:15 PM",$E$2:E124,"N",$L$2:L124,"Y"),"")</f>
        <v/>
      </c>
      <c r="AP124" s="119">
        <f>IF(AND(AD124="Y",C124="2:00 PM",E124="N",L124="Y"),COUNTIFS($AD$2:AD124,"Y",$C$2:C124,"2:00 PM",$E$2:E124,"N",$L$2:L124,"Y"),"")</f>
        <v/>
      </c>
    </row>
    <row r="125" ht="14.25" customHeight="1" s="120">
      <c r="A125" s="231" t="inlineStr">
        <is>
          <t>EMP-0131</t>
        </is>
      </c>
      <c r="B125" s="232" t="inlineStr">
        <is>
          <t>Sarita Jewell</t>
        </is>
      </c>
      <c r="C125" s="232" t="inlineStr">
        <is>
          <t>5:45 AM</t>
        </is>
      </c>
      <c r="D125" s="232" t="inlineStr">
        <is>
          <t>Tue, Wed</t>
        </is>
      </c>
      <c r="E125" s="232" t="inlineStr">
        <is>
          <t>N</t>
        </is>
      </c>
      <c r="F125" s="232" t="inlineStr">
        <is>
          <t>N</t>
        </is>
      </c>
      <c r="G125" s="232" t="inlineStr">
        <is>
          <t>Y</t>
        </is>
      </c>
      <c r="H125" s="232" t="inlineStr">
        <is>
          <t>None</t>
        </is>
      </c>
      <c r="I125" s="232" t="inlineStr">
        <is>
          <t>Y</t>
        </is>
      </c>
      <c r="J125" s="232" t="inlineStr">
        <is>
          <t>N</t>
        </is>
      </c>
      <c r="K125" s="232" t="inlineStr">
        <is>
          <t>N</t>
        </is>
      </c>
      <c r="L125" s="232" t="inlineStr">
        <is>
          <t>Y</t>
        </is>
      </c>
      <c r="M125" s="232" t="inlineStr">
        <is>
          <t>Standard</t>
        </is>
      </c>
      <c r="N125" s="232" t="n"/>
      <c r="O125" s="232" t="n"/>
      <c r="P125" s="232" t="inlineStr">
        <is>
          <t>N</t>
        </is>
      </c>
      <c r="Q125" s="232" t="n"/>
      <c r="R125" s="232" t="n"/>
      <c r="S125" s="232" t="n"/>
      <c r="T125" s="233" t="inlineStr">
        <is>
          <t>N</t>
        </is>
      </c>
      <c r="U125" s="227">
        <f>IF($B125="","",IF(AND($G125="Y",ISERROR(SEARCH(TEXT('Control Center'!$B$3,"ddd"),TRIM($D125)))),"Y","N"))</f>
        <v/>
      </c>
      <c r="V125" s="227">
        <f>IF($B125="","",IF(AND($U125="Y",OR($C125="3:45 AM",$C125="5:45 AM"),OR('Control Center'!$B$4="N",$K125&lt;&gt;"Y")),"Y","N"))</f>
        <v/>
      </c>
      <c r="W125" s="227">
        <f>IF($B125="","",IF(AND($U125="Y",OR($C125="12:15 PM",$C125="2:00 PM"),OR('Control Center'!$B$5="N",$K125&lt;&gt;"Y")),"Y","N"))</f>
        <v/>
      </c>
      <c r="X125" s="228" t="n"/>
      <c r="Y125" s="229" t="n"/>
      <c r="Z125" s="228" t="n"/>
      <c r="AA125" s="229" t="n"/>
      <c r="AB125" s="230">
        <f>IF($B125="","",IF($P125="Y",IF($Y125="Y","Completed","In Progress"),""))</f>
        <v/>
      </c>
      <c r="AC125" s="119">
        <f>IF($B125="","",IF(COUNTIFS('Approved Absences'!$A$2:$A$200,$B125,'Approved Absences'!$B$2:$B$200,"&lt;="&amp;INT('Control Center'!$B$3),'Approved Absences'!$C$2:$C$200,"&gt;="&amp;INT('Control Center'!$B$3))&gt;0,"Y","N"))</f>
        <v/>
      </c>
      <c r="AD125" s="119">
        <f>IF($B125="","",IF(AND($G125="Y",$AC125&lt;&gt;"Y",ISERROR(SEARCH(TEXT('Control Center'!$B$3,"ddd"),TRIM($D125)))),"Y","N"))</f>
        <v/>
      </c>
      <c r="AE125" s="119">
        <f>IF(AND(AD125="Y",C125="3:45 AM",E125="N",K125&lt;&gt;"Y"),COUNTIFS($AD$2:AD125,"Y",$C$2:C125,"3:45 AM",$E$2:E125,"N",$K$2:K125,"&lt;&gt;Y"),"")</f>
        <v/>
      </c>
      <c r="AF125" s="119">
        <f>IF(AND(AD125="Y",C125="5:45 AM",E125="N",K125&lt;&gt;"Y"),COUNTIFS($AD$2:AD125,"Y",$C$2:C125,"5:45 AM",$E$2:E125,"N",$K$2:K125,"&lt;&gt;Y"),"")</f>
        <v/>
      </c>
      <c r="AG125" s="119">
        <f>IF(AND(AD125="Y",C125="3:45 AM",E125="N",L125="Y",K125&lt;&gt;"Y"),COUNTIFS($AD$2:AD125,"Y",$C$2:C125,"3:45 AM",$E$2:E125,"N",$L$2:L125,"Y",$K$2:K125,"&lt;&gt;Y"),"")</f>
        <v/>
      </c>
      <c r="AH125" s="119">
        <f>IF(AND(AD125="Y",C125="5:45 AM",E125="N",L125="Y",K125&lt;&gt;"Y"),COUNTIFS($AD$2:AD125,"Y",$C$2:C125,"5:45 AM",$E$2:E125,"N",$L$2:L125,"Y",$K$2:K125,"&lt;&gt;Y"),"")</f>
        <v/>
      </c>
      <c r="AI125" s="119">
        <f>IF(AND(AD125="Y",E125="N",K125="Y",OR(C125="3:45 AM",C125="5:45 AM")),SUMPRODUCT(($AD$2:AD125="Y")*($E$2:E125="N")*($K$2:K125="Y")*(($C$2:C125="3:45 AM")+($C$2:C125="5:45 AM"))), "")</f>
        <v/>
      </c>
      <c r="AJ125" s="119">
        <f>IF(AND(AD125="Y",C125="3:45 AM",E125="N",J125="Y"),COUNTIFS($AD$2:AD125,"Y",$C$2:C125,"3:45 AM",$E$2:E125,"N",$J$2:J125,"Y"),"")</f>
        <v/>
      </c>
      <c r="AK125" s="119">
        <f>IF(AND(AD125="Y",E125="N",I125="Y",OR(C125="3:45 AM",C125="5:45 AM")),SUMPRODUCT(($AD$2:AD125="Y")*($E$2:E125="N")*($I$2:I125="Y")*(($C$2:C125="3:45 AM")+($C$2:C125="5:45 AM"))), "")</f>
        <v/>
      </c>
      <c r="AL125" s="119">
        <f>IF(AND(AD125="Y",C125="12:15 PM",E125="N",K125&lt;&gt;"Y"),COUNTIFS($AD$2:AD125,"Y",$C$2:C125,"12:15 PM",$E$2:E125,"N",$K$2:K125,"&lt;&gt;Y"),"")</f>
        <v/>
      </c>
      <c r="AM125" s="119">
        <f>IF(AND(AD125="Y",C125="2:00 PM",E125="N",K125&lt;&gt;"Y"),COUNTIFS($AD$2:AD125,"Y",$C$2:C125,"2:00 PM",$E$2:E125,"N",$K$2:K125,"&lt;&gt;Y"),"")</f>
        <v/>
      </c>
      <c r="AN125" s="119">
        <f>IF(AND(AD125="Y",E125="N",K125="Y",OR(C125="12:15 PM",C125="2:00 PM")),SUMPRODUCT(($AD$2:AD125="Y")*($E$2:E125="N")*($K$2:K125="Y")*(($C$2:C125="12:15 PM")+($C$2:C125="2:00 PM"))), "")</f>
        <v/>
      </c>
      <c r="AO125" s="119">
        <f>IF(AND(AD125="Y",C125="12:15 PM",E125="N",L125="Y"),COUNTIFS($AD$2:AD125,"Y",$C$2:C125,"12:15 PM",$E$2:E125,"N",$L$2:L125,"Y"),"")</f>
        <v/>
      </c>
      <c r="AP125" s="119">
        <f>IF(AND(AD125="Y",C125="2:00 PM",E125="N",L125="Y"),COUNTIFS($AD$2:AD125,"Y",$C$2:C125,"2:00 PM",$E$2:E125,"N",$L$2:L125,"Y"),"")</f>
        <v/>
      </c>
    </row>
    <row r="126" ht="14.25" customHeight="1" s="120">
      <c r="A126" s="231" t="inlineStr">
        <is>
          <t>EMP-0132</t>
        </is>
      </c>
      <c r="B126" s="232" t="inlineStr">
        <is>
          <t>Shanta Harvey</t>
        </is>
      </c>
      <c r="C126" s="232" t="inlineStr">
        <is>
          <t>5:45 AM</t>
        </is>
      </c>
      <c r="D126" s="232" t="inlineStr">
        <is>
          <t>Sun, Mon</t>
        </is>
      </c>
      <c r="E126" s="232" t="inlineStr">
        <is>
          <t>N</t>
        </is>
      </c>
      <c r="F126" s="232" t="inlineStr">
        <is>
          <t>N</t>
        </is>
      </c>
      <c r="G126" s="232" t="inlineStr">
        <is>
          <t>Y</t>
        </is>
      </c>
      <c r="H126" s="232" t="inlineStr">
        <is>
          <t>None</t>
        </is>
      </c>
      <c r="I126" s="232" t="inlineStr">
        <is>
          <t>N</t>
        </is>
      </c>
      <c r="J126" s="232" t="inlineStr">
        <is>
          <t>N</t>
        </is>
      </c>
      <c r="K126" s="232" t="inlineStr">
        <is>
          <t>N</t>
        </is>
      </c>
      <c r="L126" s="232" t="inlineStr">
        <is>
          <t>Y</t>
        </is>
      </c>
      <c r="M126" s="232" t="inlineStr">
        <is>
          <t>Standard</t>
        </is>
      </c>
      <c r="N126" s="232" t="n"/>
      <c r="O126" s="232" t="n"/>
      <c r="P126" s="232" t="inlineStr">
        <is>
          <t>N</t>
        </is>
      </c>
      <c r="Q126" s="232" t="n"/>
      <c r="R126" s="232" t="n"/>
      <c r="S126" s="232" t="n"/>
      <c r="T126" s="233" t="inlineStr">
        <is>
          <t>N</t>
        </is>
      </c>
      <c r="U126" s="227">
        <f>IF($B126="","",IF(AND($G126="Y",ISERROR(SEARCH(TEXT('Control Center'!$B$3,"ddd"),TRIM($D126)))),"Y","N"))</f>
        <v/>
      </c>
      <c r="V126" s="227">
        <f>IF($B126="","",IF(AND($U126="Y",OR($C126="3:45 AM",$C126="5:45 AM"),OR('Control Center'!$B$4="N",$K126&lt;&gt;"Y")),"Y","N"))</f>
        <v/>
      </c>
      <c r="W126" s="227">
        <f>IF($B126="","",IF(AND($U126="Y",OR($C126="12:15 PM",$C126="2:00 PM"),OR('Control Center'!$B$5="N",$K126&lt;&gt;"Y")),"Y","N"))</f>
        <v/>
      </c>
      <c r="X126" s="228" t="n"/>
      <c r="Y126" s="229" t="n"/>
      <c r="Z126" s="228" t="n"/>
      <c r="AA126" s="229" t="n"/>
      <c r="AB126" s="230">
        <f>IF($B126="","",IF($P126="Y",IF($Y126="Y","Completed","In Progress"),""))</f>
        <v/>
      </c>
      <c r="AC126" s="119">
        <f>IF($B126="","",IF(COUNTIFS('Approved Absences'!$A$2:$A$200,$B126,'Approved Absences'!$B$2:$B$200,"&lt;="&amp;INT('Control Center'!$B$3),'Approved Absences'!$C$2:$C$200,"&gt;="&amp;INT('Control Center'!$B$3))&gt;0,"Y","N"))</f>
        <v/>
      </c>
      <c r="AD126" s="119">
        <f>IF($B126="","",IF(AND($G126="Y",$AC126&lt;&gt;"Y",ISERROR(SEARCH(TEXT('Control Center'!$B$3,"ddd"),TRIM($D126)))),"Y","N"))</f>
        <v/>
      </c>
      <c r="AE126" s="119">
        <f>IF(AND(AD126="Y",C126="3:45 AM",E126="N",K126&lt;&gt;"Y"),COUNTIFS($AD$2:AD126,"Y",$C$2:C126,"3:45 AM",$E$2:E126,"N",$K$2:K126,"&lt;&gt;Y"),"")</f>
        <v/>
      </c>
      <c r="AF126" s="119">
        <f>IF(AND(AD126="Y",C126="5:45 AM",E126="N",K126&lt;&gt;"Y"),COUNTIFS($AD$2:AD126,"Y",$C$2:C126,"5:45 AM",$E$2:E126,"N",$K$2:K126,"&lt;&gt;Y"),"")</f>
        <v/>
      </c>
      <c r="AG126" s="119">
        <f>IF(AND(AD126="Y",C126="3:45 AM",E126="N",L126="Y",K126&lt;&gt;"Y"),COUNTIFS($AD$2:AD126,"Y",$C$2:C126,"3:45 AM",$E$2:E126,"N",$L$2:L126,"Y",$K$2:K126,"&lt;&gt;Y"),"")</f>
        <v/>
      </c>
      <c r="AH126" s="119">
        <f>IF(AND(AD126="Y",C126="5:45 AM",E126="N",L126="Y",K126&lt;&gt;"Y"),COUNTIFS($AD$2:AD126,"Y",$C$2:C126,"5:45 AM",$E$2:E126,"N",$L$2:L126,"Y",$K$2:K126,"&lt;&gt;Y"),"")</f>
        <v/>
      </c>
      <c r="AI126" s="119">
        <f>IF(AND(AD126="Y",E126="N",K126="Y",OR(C126="3:45 AM",C126="5:45 AM")),SUMPRODUCT(($AD$2:AD126="Y")*($E$2:E126="N")*($K$2:K126="Y")*(($C$2:C126="3:45 AM")+($C$2:C126="5:45 AM"))), "")</f>
        <v/>
      </c>
      <c r="AJ126" s="119">
        <f>IF(AND(AD126="Y",C126="3:45 AM",E126="N",J126="Y"),COUNTIFS($AD$2:AD126,"Y",$C$2:C126,"3:45 AM",$E$2:E126,"N",$J$2:J126,"Y"),"")</f>
        <v/>
      </c>
      <c r="AK126" s="119">
        <f>IF(AND(AD126="Y",E126="N",I126="Y",OR(C126="3:45 AM",C126="5:45 AM")),SUMPRODUCT(($AD$2:AD126="Y")*($E$2:E126="N")*($I$2:I126="Y")*(($C$2:C126="3:45 AM")+($C$2:C126="5:45 AM"))), "")</f>
        <v/>
      </c>
      <c r="AL126" s="119">
        <f>IF(AND(AD126="Y",C126="12:15 PM",E126="N",K126&lt;&gt;"Y"),COUNTIFS($AD$2:AD126,"Y",$C$2:C126,"12:15 PM",$E$2:E126,"N",$K$2:K126,"&lt;&gt;Y"),"")</f>
        <v/>
      </c>
      <c r="AM126" s="119">
        <f>IF(AND(AD126="Y",C126="2:00 PM",E126="N",K126&lt;&gt;"Y"),COUNTIFS($AD$2:AD126,"Y",$C$2:C126,"2:00 PM",$E$2:E126,"N",$K$2:K126,"&lt;&gt;Y"),"")</f>
        <v/>
      </c>
      <c r="AN126" s="119">
        <f>IF(AND(AD126="Y",E126="N",K126="Y",OR(C126="12:15 PM",C126="2:00 PM")),SUMPRODUCT(($AD$2:AD126="Y")*($E$2:E126="N")*($K$2:K126="Y")*(($C$2:C126="12:15 PM")+($C$2:C126="2:00 PM"))), "")</f>
        <v/>
      </c>
      <c r="AO126" s="119">
        <f>IF(AND(AD126="Y",C126="12:15 PM",E126="N",L126="Y"),COUNTIFS($AD$2:AD126,"Y",$C$2:C126,"12:15 PM",$E$2:E126,"N",$L$2:L126,"Y"),"")</f>
        <v/>
      </c>
      <c r="AP126" s="119">
        <f>IF(AND(AD126="Y",C126="2:00 PM",E126="N",L126="Y"),COUNTIFS($AD$2:AD126,"Y",$C$2:C126,"2:00 PM",$E$2:E126,"N",$L$2:L126,"Y"),"")</f>
        <v/>
      </c>
    </row>
    <row r="127" ht="14.25" customHeight="1" s="120">
      <c r="A127" s="231" t="inlineStr">
        <is>
          <t>EMP-0133</t>
        </is>
      </c>
      <c r="B127" s="232" t="inlineStr">
        <is>
          <t>Shanta Islam</t>
        </is>
      </c>
      <c r="C127" s="232" t="inlineStr">
        <is>
          <t>5:45 AM</t>
        </is>
      </c>
      <c r="D127" s="232" t="inlineStr">
        <is>
          <t>Thu, Fri</t>
        </is>
      </c>
      <c r="E127" s="232" t="inlineStr">
        <is>
          <t>N</t>
        </is>
      </c>
      <c r="F127" s="232" t="inlineStr">
        <is>
          <t>N</t>
        </is>
      </c>
      <c r="G127" s="232" t="inlineStr">
        <is>
          <t>Y</t>
        </is>
      </c>
      <c r="H127" s="232" t="inlineStr">
        <is>
          <t>None</t>
        </is>
      </c>
      <c r="I127" s="232" t="inlineStr">
        <is>
          <t>N</t>
        </is>
      </c>
      <c r="J127" s="232" t="inlineStr">
        <is>
          <t>N</t>
        </is>
      </c>
      <c r="K127" s="232" t="inlineStr">
        <is>
          <t>N</t>
        </is>
      </c>
      <c r="L127" s="232" t="inlineStr">
        <is>
          <t>Y</t>
        </is>
      </c>
      <c r="M127" s="232" t="inlineStr">
        <is>
          <t>Standard</t>
        </is>
      </c>
      <c r="N127" s="232" t="n"/>
      <c r="O127" s="232" t="n"/>
      <c r="P127" s="232" t="inlineStr">
        <is>
          <t>N</t>
        </is>
      </c>
      <c r="Q127" s="232" t="n"/>
      <c r="R127" s="232" t="n"/>
      <c r="S127" s="232" t="n"/>
      <c r="T127" s="233" t="inlineStr">
        <is>
          <t>N</t>
        </is>
      </c>
      <c r="U127" s="227">
        <f>IF($B127="","",IF(AND($G127="Y",ISERROR(SEARCH(TEXT('Control Center'!$B$3,"ddd"),TRIM($D127)))),"Y","N"))</f>
        <v/>
      </c>
      <c r="V127" s="227">
        <f>IF($B127="","",IF(AND($U127="Y",OR($C127="3:45 AM",$C127="5:45 AM"),OR('Control Center'!$B$4="N",$K127&lt;&gt;"Y")),"Y","N"))</f>
        <v/>
      </c>
      <c r="W127" s="227">
        <f>IF($B127="","",IF(AND($U127="Y",OR($C127="12:15 PM",$C127="2:00 PM"),OR('Control Center'!$B$5="N",$K127&lt;&gt;"Y")),"Y","N"))</f>
        <v/>
      </c>
      <c r="X127" s="228" t="n"/>
      <c r="Y127" s="229" t="n"/>
      <c r="Z127" s="228" t="n"/>
      <c r="AA127" s="229" t="n"/>
      <c r="AB127" s="230">
        <f>IF($B127="","",IF($P127="Y",IF($Y127="Y","Completed","In Progress"),""))</f>
        <v/>
      </c>
      <c r="AC127" s="119">
        <f>IF($B127="","",IF(COUNTIFS('Approved Absences'!$A$2:$A$200,$B127,'Approved Absences'!$B$2:$B$200,"&lt;="&amp;INT('Control Center'!$B$3),'Approved Absences'!$C$2:$C$200,"&gt;="&amp;INT('Control Center'!$B$3))&gt;0,"Y","N"))</f>
        <v/>
      </c>
      <c r="AD127" s="119">
        <f>IF($B127="","",IF(AND($G127="Y",$AC127&lt;&gt;"Y",ISERROR(SEARCH(TEXT('Control Center'!$B$3,"ddd"),TRIM($D127)))),"Y","N"))</f>
        <v/>
      </c>
      <c r="AE127" s="119">
        <f>IF(AND(AD127="Y",C127="3:45 AM",E127="N",K127&lt;&gt;"Y"),COUNTIFS($AD$2:AD127,"Y",$C$2:C127,"3:45 AM",$E$2:E127,"N",$K$2:K127,"&lt;&gt;Y"),"")</f>
        <v/>
      </c>
      <c r="AF127" s="119">
        <f>IF(AND(AD127="Y",C127="5:45 AM",E127="N",K127&lt;&gt;"Y"),COUNTIFS($AD$2:AD127,"Y",$C$2:C127,"5:45 AM",$E$2:E127,"N",$K$2:K127,"&lt;&gt;Y"),"")</f>
        <v/>
      </c>
      <c r="AG127" s="119">
        <f>IF(AND(AD127="Y",C127="3:45 AM",E127="N",L127="Y",K127&lt;&gt;"Y"),COUNTIFS($AD$2:AD127,"Y",$C$2:C127,"3:45 AM",$E$2:E127,"N",$L$2:L127,"Y",$K$2:K127,"&lt;&gt;Y"),"")</f>
        <v/>
      </c>
      <c r="AH127" s="119">
        <f>IF(AND(AD127="Y",C127="5:45 AM",E127="N",L127="Y",K127&lt;&gt;"Y"),COUNTIFS($AD$2:AD127,"Y",$C$2:C127,"5:45 AM",$E$2:E127,"N",$L$2:L127,"Y",$K$2:K127,"&lt;&gt;Y"),"")</f>
        <v/>
      </c>
      <c r="AI127" s="119">
        <f>IF(AND(AD127="Y",E127="N",K127="Y",OR(C127="3:45 AM",C127="5:45 AM")),SUMPRODUCT(($AD$2:AD127="Y")*($E$2:E127="N")*($K$2:K127="Y")*(($C$2:C127="3:45 AM")+($C$2:C127="5:45 AM"))), "")</f>
        <v/>
      </c>
      <c r="AJ127" s="119">
        <f>IF(AND(AD127="Y",C127="3:45 AM",E127="N",J127="Y"),COUNTIFS($AD$2:AD127,"Y",$C$2:C127,"3:45 AM",$E$2:E127,"N",$J$2:J127,"Y"),"")</f>
        <v/>
      </c>
      <c r="AK127" s="119">
        <f>IF(AND(AD127="Y",E127="N",I127="Y",OR(C127="3:45 AM",C127="5:45 AM")),SUMPRODUCT(($AD$2:AD127="Y")*($E$2:E127="N")*($I$2:I127="Y")*(($C$2:C127="3:45 AM")+($C$2:C127="5:45 AM"))), "")</f>
        <v/>
      </c>
      <c r="AL127" s="119">
        <f>IF(AND(AD127="Y",C127="12:15 PM",E127="N",K127&lt;&gt;"Y"),COUNTIFS($AD$2:AD127,"Y",$C$2:C127,"12:15 PM",$E$2:E127,"N",$K$2:K127,"&lt;&gt;Y"),"")</f>
        <v/>
      </c>
      <c r="AM127" s="119">
        <f>IF(AND(AD127="Y",C127="2:00 PM",E127="N",K127&lt;&gt;"Y"),COUNTIFS($AD$2:AD127,"Y",$C$2:C127,"2:00 PM",$E$2:E127,"N",$K$2:K127,"&lt;&gt;Y"),"")</f>
        <v/>
      </c>
      <c r="AN127" s="119">
        <f>IF(AND(AD127="Y",E127="N",K127="Y",OR(C127="12:15 PM",C127="2:00 PM")),SUMPRODUCT(($AD$2:AD127="Y")*($E$2:E127="N")*($K$2:K127="Y")*(($C$2:C127="12:15 PM")+($C$2:C127="2:00 PM"))), "")</f>
        <v/>
      </c>
      <c r="AO127" s="119">
        <f>IF(AND(AD127="Y",C127="12:15 PM",E127="N",L127="Y"),COUNTIFS($AD$2:AD127,"Y",$C$2:C127,"12:15 PM",$E$2:E127,"N",$L$2:L127,"Y"),"")</f>
        <v/>
      </c>
      <c r="AP127" s="119">
        <f>IF(AND(AD127="Y",C127="2:00 PM",E127="N",L127="Y"),COUNTIFS($AD$2:AD127,"Y",$C$2:C127,"2:00 PM",$E$2:E127,"N",$L$2:L127,"Y"),"")</f>
        <v/>
      </c>
    </row>
    <row r="128" ht="14.25" customHeight="1" s="120">
      <c r="A128" s="231" t="inlineStr">
        <is>
          <t>EMP-0134</t>
        </is>
      </c>
      <c r="B128" s="232" t="inlineStr">
        <is>
          <t>Shawanda Webb</t>
        </is>
      </c>
      <c r="C128" s="232" t="inlineStr">
        <is>
          <t>5:45 AM</t>
        </is>
      </c>
      <c r="D128" s="232" t="inlineStr">
        <is>
          <t>Sat, Sun</t>
        </is>
      </c>
      <c r="E128" s="232" t="inlineStr">
        <is>
          <t>N</t>
        </is>
      </c>
      <c r="F128" s="232" t="inlineStr">
        <is>
          <t>N</t>
        </is>
      </c>
      <c r="G128" s="232" t="inlineStr">
        <is>
          <t>Y</t>
        </is>
      </c>
      <c r="H128" s="232" t="inlineStr">
        <is>
          <t>None</t>
        </is>
      </c>
      <c r="I128" s="232" t="inlineStr">
        <is>
          <t>N</t>
        </is>
      </c>
      <c r="J128" s="232" t="inlineStr">
        <is>
          <t>N</t>
        </is>
      </c>
      <c r="K128" s="232" t="inlineStr">
        <is>
          <t>N</t>
        </is>
      </c>
      <c r="L128" s="232" t="inlineStr">
        <is>
          <t>N</t>
        </is>
      </c>
      <c r="M128" s="232" t="inlineStr">
        <is>
          <t>Standard</t>
        </is>
      </c>
      <c r="N128" s="232" t="n"/>
      <c r="O128" s="232" t="n"/>
      <c r="P128" s="232" t="inlineStr">
        <is>
          <t>N</t>
        </is>
      </c>
      <c r="Q128" s="232" t="n"/>
      <c r="R128" s="232" t="n"/>
      <c r="S128" s="232" t="n"/>
      <c r="T128" s="233" t="inlineStr">
        <is>
          <t>N</t>
        </is>
      </c>
      <c r="U128" s="227">
        <f>IF($B128="","",IF(AND($G128="Y",ISERROR(SEARCH(TEXT('Control Center'!$B$3,"ddd"),TRIM($D128)))),"Y","N"))</f>
        <v/>
      </c>
      <c r="V128" s="227">
        <f>IF($B128="","",IF(AND($U128="Y",OR($C128="3:45 AM",$C128="5:45 AM"),OR('Control Center'!$B$4="N",$K128&lt;&gt;"Y")),"Y","N"))</f>
        <v/>
      </c>
      <c r="W128" s="227">
        <f>IF($B128="","",IF(AND($U128="Y",OR($C128="12:15 PM",$C128="2:00 PM"),OR('Control Center'!$B$5="N",$K128&lt;&gt;"Y")),"Y","N"))</f>
        <v/>
      </c>
      <c r="X128" s="228" t="n"/>
      <c r="Y128" s="229" t="n"/>
      <c r="Z128" s="228" t="n"/>
      <c r="AA128" s="229" t="n"/>
      <c r="AB128" s="230">
        <f>IF($B128="","",IF($P128="Y",IF($Y128="Y","Completed","In Progress"),""))</f>
        <v/>
      </c>
      <c r="AC128" s="119">
        <f>IF($B128="","",IF(COUNTIFS('Approved Absences'!$A$2:$A$200,$B128,'Approved Absences'!$B$2:$B$200,"&lt;="&amp;INT('Control Center'!$B$3),'Approved Absences'!$C$2:$C$200,"&gt;="&amp;INT('Control Center'!$B$3))&gt;0,"Y","N"))</f>
        <v/>
      </c>
      <c r="AD128" s="119">
        <f>IF($B128="","",IF(AND($G128="Y",$AC128&lt;&gt;"Y",ISERROR(SEARCH(TEXT('Control Center'!$B$3,"ddd"),TRIM($D128)))),"Y","N"))</f>
        <v/>
      </c>
      <c r="AE128" s="119">
        <f>IF(AND(AD128="Y",C128="3:45 AM",E128="N",K128&lt;&gt;"Y"),COUNTIFS($AD$2:AD128,"Y",$C$2:C128,"3:45 AM",$E$2:E128,"N",$K$2:K128,"&lt;&gt;Y"),"")</f>
        <v/>
      </c>
      <c r="AF128" s="119">
        <f>IF(AND(AD128="Y",C128="5:45 AM",E128="N",K128&lt;&gt;"Y"),COUNTIFS($AD$2:AD128,"Y",$C$2:C128,"5:45 AM",$E$2:E128,"N",$K$2:K128,"&lt;&gt;Y"),"")</f>
        <v/>
      </c>
      <c r="AG128" s="119">
        <f>IF(AND(AD128="Y",C128="3:45 AM",E128="N",L128="Y",K128&lt;&gt;"Y"),COUNTIFS($AD$2:AD128,"Y",$C$2:C128,"3:45 AM",$E$2:E128,"N",$L$2:L128,"Y",$K$2:K128,"&lt;&gt;Y"),"")</f>
        <v/>
      </c>
      <c r="AH128" s="119">
        <f>IF(AND(AD128="Y",C128="5:45 AM",E128="N",L128="Y",K128&lt;&gt;"Y"),COUNTIFS($AD$2:AD128,"Y",$C$2:C128,"5:45 AM",$E$2:E128,"N",$L$2:L128,"Y",$K$2:K128,"&lt;&gt;Y"),"")</f>
        <v/>
      </c>
      <c r="AI128" s="119">
        <f>IF(AND(AD128="Y",E128="N",K128="Y",OR(C128="3:45 AM",C128="5:45 AM")),SUMPRODUCT(($AD$2:AD128="Y")*($E$2:E128="N")*($K$2:K128="Y")*(($C$2:C128="3:45 AM")+($C$2:C128="5:45 AM"))), "")</f>
        <v/>
      </c>
      <c r="AJ128" s="119">
        <f>IF(AND(AD128="Y",C128="3:45 AM",E128="N",J128="Y"),COUNTIFS($AD$2:AD128,"Y",$C$2:C128,"3:45 AM",$E$2:E128,"N",$J$2:J128,"Y"),"")</f>
        <v/>
      </c>
      <c r="AK128" s="119">
        <f>IF(AND(AD128="Y",E128="N",I128="Y",OR(C128="3:45 AM",C128="5:45 AM")),SUMPRODUCT(($AD$2:AD128="Y")*($E$2:E128="N")*($I$2:I128="Y")*(($C$2:C128="3:45 AM")+($C$2:C128="5:45 AM"))), "")</f>
        <v/>
      </c>
      <c r="AL128" s="119">
        <f>IF(AND(AD128="Y",C128="12:15 PM",E128="N",K128&lt;&gt;"Y"),COUNTIFS($AD$2:AD128,"Y",$C$2:C128,"12:15 PM",$E$2:E128,"N",$K$2:K128,"&lt;&gt;Y"),"")</f>
        <v/>
      </c>
      <c r="AM128" s="119">
        <f>IF(AND(AD128="Y",C128="2:00 PM",E128="N",K128&lt;&gt;"Y"),COUNTIFS($AD$2:AD128,"Y",$C$2:C128,"2:00 PM",$E$2:E128,"N",$K$2:K128,"&lt;&gt;Y"),"")</f>
        <v/>
      </c>
      <c r="AN128" s="119">
        <f>IF(AND(AD128="Y",E128="N",K128="Y",OR(C128="12:15 PM",C128="2:00 PM")),SUMPRODUCT(($AD$2:AD128="Y")*($E$2:E128="N")*($K$2:K128="Y")*(($C$2:C128="12:15 PM")+($C$2:C128="2:00 PM"))), "")</f>
        <v/>
      </c>
      <c r="AO128" s="119">
        <f>IF(AND(AD128="Y",C128="12:15 PM",E128="N",L128="Y"),COUNTIFS($AD$2:AD128,"Y",$C$2:C128,"12:15 PM",$E$2:E128,"N",$L$2:L128,"Y"),"")</f>
        <v/>
      </c>
      <c r="AP128" s="119">
        <f>IF(AND(AD128="Y",C128="2:00 PM",E128="N",L128="Y"),COUNTIFS($AD$2:AD128,"Y",$C$2:C128,"2:00 PM",$E$2:E128,"N",$L$2:L128,"Y"),"")</f>
        <v/>
      </c>
    </row>
    <row r="129" ht="14.25" customHeight="1" s="120">
      <c r="A129" s="231" t="inlineStr">
        <is>
          <t>EMP-0135</t>
        </is>
      </c>
      <c r="B129" s="232" t="inlineStr">
        <is>
          <t>Tanya Organ</t>
        </is>
      </c>
      <c r="C129" s="232" t="inlineStr">
        <is>
          <t>3:45 AM</t>
        </is>
      </c>
      <c r="D129" s="232" t="inlineStr">
        <is>
          <t>Fri, Sat</t>
        </is>
      </c>
      <c r="E129" s="232" t="inlineStr">
        <is>
          <t>N</t>
        </is>
      </c>
      <c r="F129" s="232" t="inlineStr">
        <is>
          <t>N</t>
        </is>
      </c>
      <c r="G129" s="232" t="inlineStr">
        <is>
          <t>Y</t>
        </is>
      </c>
      <c r="H129" s="232" t="inlineStr">
        <is>
          <t>None</t>
        </is>
      </c>
      <c r="I129" s="232" t="inlineStr">
        <is>
          <t>N</t>
        </is>
      </c>
      <c r="J129" s="232" t="inlineStr">
        <is>
          <t>N</t>
        </is>
      </c>
      <c r="K129" s="232" t="inlineStr">
        <is>
          <t>N</t>
        </is>
      </c>
      <c r="L129" s="232" t="inlineStr">
        <is>
          <t>N</t>
        </is>
      </c>
      <c r="M129" s="232" t="inlineStr">
        <is>
          <t>Standard</t>
        </is>
      </c>
      <c r="N129" s="232" t="n"/>
      <c r="O129" s="232" t="n"/>
      <c r="P129" s="232" t="inlineStr">
        <is>
          <t>N</t>
        </is>
      </c>
      <c r="Q129" s="232" t="n"/>
      <c r="R129" s="232" t="n"/>
      <c r="S129" s="232" t="n"/>
      <c r="T129" s="233" t="inlineStr">
        <is>
          <t>N</t>
        </is>
      </c>
      <c r="U129" s="227">
        <f>IF($B129="","",IF(AND($G129="Y",ISERROR(SEARCH(TEXT('Control Center'!$B$3,"ddd"),TRIM($D129)))),"Y","N"))</f>
        <v/>
      </c>
      <c r="V129" s="227">
        <f>IF($B129="","",IF(AND($U129="Y",OR($C129="3:45 AM",$C129="5:45 AM"),OR('Control Center'!$B$4="N",$K129&lt;&gt;"Y")),"Y","N"))</f>
        <v/>
      </c>
      <c r="W129" s="227">
        <f>IF($B129="","",IF(AND($U129="Y",OR($C129="12:15 PM",$C129="2:00 PM"),OR('Control Center'!$B$5="N",$K129&lt;&gt;"Y")),"Y","N"))</f>
        <v/>
      </c>
      <c r="X129" s="228" t="n"/>
      <c r="Y129" s="229" t="n"/>
      <c r="Z129" s="228" t="n"/>
      <c r="AA129" s="229" t="n"/>
      <c r="AB129" s="230">
        <f>IF($B129="","",IF($P129="Y",IF($Y129="Y","Completed","In Progress"),""))</f>
        <v/>
      </c>
      <c r="AC129" s="119">
        <f>IF($B129="","",IF(COUNTIFS('Approved Absences'!$A$2:$A$200,$B129,'Approved Absences'!$B$2:$B$200,"&lt;="&amp;INT('Control Center'!$B$3),'Approved Absences'!$C$2:$C$200,"&gt;="&amp;INT('Control Center'!$B$3))&gt;0,"Y","N"))</f>
        <v/>
      </c>
      <c r="AD129" s="119">
        <f>IF($B129="","",IF(AND($G129="Y",$AC129&lt;&gt;"Y",ISERROR(SEARCH(TEXT('Control Center'!$B$3,"ddd"),TRIM($D129)))),"Y","N"))</f>
        <v/>
      </c>
      <c r="AE129" s="119">
        <f>IF(AND(AD129="Y",C129="3:45 AM",E129="N",K129&lt;&gt;"Y"),COUNTIFS($AD$2:AD129,"Y",$C$2:C129,"3:45 AM",$E$2:E129,"N",$K$2:K129,"&lt;&gt;Y"),"")</f>
        <v/>
      </c>
      <c r="AF129" s="119">
        <f>IF(AND(AD129="Y",C129="5:45 AM",E129="N",K129&lt;&gt;"Y"),COUNTIFS($AD$2:AD129,"Y",$C$2:C129,"5:45 AM",$E$2:E129,"N",$K$2:K129,"&lt;&gt;Y"),"")</f>
        <v/>
      </c>
      <c r="AG129" s="119">
        <f>IF(AND(AD129="Y",C129="3:45 AM",E129="N",L129="Y",K129&lt;&gt;"Y"),COUNTIFS($AD$2:AD129,"Y",$C$2:C129,"3:45 AM",$E$2:E129,"N",$L$2:L129,"Y",$K$2:K129,"&lt;&gt;Y"),"")</f>
        <v/>
      </c>
      <c r="AH129" s="119">
        <f>IF(AND(AD129="Y",C129="5:45 AM",E129="N",L129="Y",K129&lt;&gt;"Y"),COUNTIFS($AD$2:AD129,"Y",$C$2:C129,"5:45 AM",$E$2:E129,"N",$L$2:L129,"Y",$K$2:K129,"&lt;&gt;Y"),"")</f>
        <v/>
      </c>
      <c r="AI129" s="119">
        <f>IF(AND(AD129="Y",E129="N",K129="Y",OR(C129="3:45 AM",C129="5:45 AM")),SUMPRODUCT(($AD$2:AD129="Y")*($E$2:E129="N")*($K$2:K129="Y")*(($C$2:C129="3:45 AM")+($C$2:C129="5:45 AM"))), "")</f>
        <v/>
      </c>
      <c r="AJ129" s="119">
        <f>IF(AND(AD129="Y",C129="3:45 AM",E129="N",J129="Y"),COUNTIFS($AD$2:AD129,"Y",$C$2:C129,"3:45 AM",$E$2:E129,"N",$J$2:J129,"Y"),"")</f>
        <v/>
      </c>
      <c r="AK129" s="119">
        <f>IF(AND(AD129="Y",E129="N",I129="Y",OR(C129="3:45 AM",C129="5:45 AM")),SUMPRODUCT(($AD$2:AD129="Y")*($E$2:E129="N")*($I$2:I129="Y")*(($C$2:C129="3:45 AM")+($C$2:C129="5:45 AM"))), "")</f>
        <v/>
      </c>
      <c r="AL129" s="119">
        <f>IF(AND(AD129="Y",C129="12:15 PM",E129="N",K129&lt;&gt;"Y"),COUNTIFS($AD$2:AD129,"Y",$C$2:C129,"12:15 PM",$E$2:E129,"N",$K$2:K129,"&lt;&gt;Y"),"")</f>
        <v/>
      </c>
      <c r="AM129" s="119">
        <f>IF(AND(AD129="Y",C129="2:00 PM",E129="N",K129&lt;&gt;"Y"),COUNTIFS($AD$2:AD129,"Y",$C$2:C129,"2:00 PM",$E$2:E129,"N",$K$2:K129,"&lt;&gt;Y"),"")</f>
        <v/>
      </c>
      <c r="AN129" s="119">
        <f>IF(AND(AD129="Y",E129="N",K129="Y",OR(C129="12:15 PM",C129="2:00 PM")),SUMPRODUCT(($AD$2:AD129="Y")*($E$2:E129="N")*($K$2:K129="Y")*(($C$2:C129="12:15 PM")+($C$2:C129="2:00 PM"))), "")</f>
        <v/>
      </c>
      <c r="AO129" s="119">
        <f>IF(AND(AD129="Y",C129="12:15 PM",E129="N",L129="Y"),COUNTIFS($AD$2:AD129,"Y",$C$2:C129,"12:15 PM",$E$2:E129,"N",$L$2:L129,"Y"),"")</f>
        <v/>
      </c>
      <c r="AP129" s="119">
        <f>IF(AND(AD129="Y",C129="2:00 PM",E129="N",L129="Y"),COUNTIFS($AD$2:AD129,"Y",$C$2:C129,"2:00 PM",$E$2:E129,"N",$L$2:L129,"Y"),"")</f>
        <v/>
      </c>
    </row>
    <row r="130" ht="14.25" customHeight="1" s="120">
      <c r="A130" s="231" t="inlineStr">
        <is>
          <t>EMP-0136</t>
        </is>
      </c>
      <c r="B130" s="232" t="inlineStr">
        <is>
          <t>Teaera Freeman</t>
        </is>
      </c>
      <c r="C130" s="232" t="inlineStr">
        <is>
          <t>3:45 AM</t>
        </is>
      </c>
      <c r="D130" s="232" t="inlineStr">
        <is>
          <t>Sun, Mon</t>
        </is>
      </c>
      <c r="E130" s="232" t="inlineStr">
        <is>
          <t>N</t>
        </is>
      </c>
      <c r="F130" s="232" t="inlineStr">
        <is>
          <t>N</t>
        </is>
      </c>
      <c r="G130" s="232" t="inlineStr">
        <is>
          <t>Y</t>
        </is>
      </c>
      <c r="H130" s="232" t="inlineStr">
        <is>
          <t>None</t>
        </is>
      </c>
      <c r="I130" s="232" t="inlineStr">
        <is>
          <t>N</t>
        </is>
      </c>
      <c r="J130" s="232" t="inlineStr">
        <is>
          <t>Y</t>
        </is>
      </c>
      <c r="K130" s="232" t="inlineStr">
        <is>
          <t>N</t>
        </is>
      </c>
      <c r="L130" s="232" t="inlineStr">
        <is>
          <t>Y</t>
        </is>
      </c>
      <c r="M130" s="232" t="inlineStr">
        <is>
          <t>Standard</t>
        </is>
      </c>
      <c r="N130" s="232" t="n"/>
      <c r="O130" s="232" t="n"/>
      <c r="P130" s="232" t="inlineStr">
        <is>
          <t>N</t>
        </is>
      </c>
      <c r="Q130" s="232" t="n"/>
      <c r="R130" s="232" t="n"/>
      <c r="S130" s="232" t="n"/>
      <c r="T130" s="233" t="inlineStr">
        <is>
          <t>N</t>
        </is>
      </c>
      <c r="U130" s="227">
        <f>IF($B130="","",IF(AND($G130="Y",ISERROR(SEARCH(TEXT('Control Center'!$B$3,"ddd"),TRIM($D130)))),"Y","N"))</f>
        <v/>
      </c>
      <c r="V130" s="227">
        <f>IF($B130="","",IF(AND($U130="Y",OR($C130="3:45 AM",$C130="5:45 AM"),OR('Control Center'!$B$4="N",$K130&lt;&gt;"Y")),"Y","N"))</f>
        <v/>
      </c>
      <c r="W130" s="227">
        <f>IF($B130="","",IF(AND($U130="Y",OR($C130="12:15 PM",$C130="2:00 PM"),OR('Control Center'!$B$5="N",$K130&lt;&gt;"Y")),"Y","N"))</f>
        <v/>
      </c>
      <c r="X130" s="228" t="n"/>
      <c r="Y130" s="229" t="n"/>
      <c r="Z130" s="228" t="n"/>
      <c r="AA130" s="229" t="n"/>
      <c r="AB130" s="230">
        <f>IF($B130="","",IF($P130="Y",IF($Y130="Y","Completed","In Progress"),""))</f>
        <v/>
      </c>
      <c r="AC130" s="119">
        <f>IF($B130="","",IF(COUNTIFS('Approved Absences'!$A$2:$A$200,$B130,'Approved Absences'!$B$2:$B$200,"&lt;="&amp;INT('Control Center'!$B$3),'Approved Absences'!$C$2:$C$200,"&gt;="&amp;INT('Control Center'!$B$3))&gt;0,"Y","N"))</f>
        <v/>
      </c>
      <c r="AD130" s="119">
        <f>IF($B130="","",IF(AND($G130="Y",$AC130&lt;&gt;"Y",ISERROR(SEARCH(TEXT('Control Center'!$B$3,"ddd"),TRIM($D130)))),"Y","N"))</f>
        <v/>
      </c>
      <c r="AE130" s="119">
        <f>IF(AND(AD130="Y",C130="3:45 AM",E130="N",K130&lt;&gt;"Y"),COUNTIFS($AD$2:AD130,"Y",$C$2:C130,"3:45 AM",$E$2:E130,"N",$K$2:K130,"&lt;&gt;Y"),"")</f>
        <v/>
      </c>
      <c r="AF130" s="119">
        <f>IF(AND(AD130="Y",C130="5:45 AM",E130="N",K130&lt;&gt;"Y"),COUNTIFS($AD$2:AD130,"Y",$C$2:C130,"5:45 AM",$E$2:E130,"N",$K$2:K130,"&lt;&gt;Y"),"")</f>
        <v/>
      </c>
      <c r="AG130" s="119">
        <f>IF(AND(AD130="Y",C130="3:45 AM",E130="N",L130="Y",K130&lt;&gt;"Y"),COUNTIFS($AD$2:AD130,"Y",$C$2:C130,"3:45 AM",$E$2:E130,"N",$L$2:L130,"Y",$K$2:K130,"&lt;&gt;Y"),"")</f>
        <v/>
      </c>
      <c r="AH130" s="119">
        <f>IF(AND(AD130="Y",C130="5:45 AM",E130="N",L130="Y",K130&lt;&gt;"Y"),COUNTIFS($AD$2:AD130,"Y",$C$2:C130,"5:45 AM",$E$2:E130,"N",$L$2:L130,"Y",$K$2:K130,"&lt;&gt;Y"),"")</f>
        <v/>
      </c>
      <c r="AI130" s="119">
        <f>IF(AND(AD130="Y",E130="N",K130="Y",OR(C130="3:45 AM",C130="5:45 AM")),SUMPRODUCT(($AD$2:AD130="Y")*($E$2:E130="N")*($K$2:K130="Y")*(($C$2:C130="3:45 AM")+($C$2:C130="5:45 AM"))), "")</f>
        <v/>
      </c>
      <c r="AJ130" s="119">
        <f>IF(AND(AD130="Y",C130="3:45 AM",E130="N",J130="Y"),COUNTIFS($AD$2:AD130,"Y",$C$2:C130,"3:45 AM",$E$2:E130,"N",$J$2:J130,"Y"),"")</f>
        <v/>
      </c>
      <c r="AK130" s="119">
        <f>IF(AND(AD130="Y",E130="N",I130="Y",OR(C130="3:45 AM",C130="5:45 AM")),SUMPRODUCT(($AD$2:AD130="Y")*($E$2:E130="N")*($I$2:I130="Y")*(($C$2:C130="3:45 AM")+($C$2:C130="5:45 AM"))), "")</f>
        <v/>
      </c>
      <c r="AL130" s="119">
        <f>IF(AND(AD130="Y",C130="12:15 PM",E130="N",K130&lt;&gt;"Y"),COUNTIFS($AD$2:AD130,"Y",$C$2:C130,"12:15 PM",$E$2:E130,"N",$K$2:K130,"&lt;&gt;Y"),"")</f>
        <v/>
      </c>
      <c r="AM130" s="119">
        <f>IF(AND(AD130="Y",C130="2:00 PM",E130="N",K130&lt;&gt;"Y"),COUNTIFS($AD$2:AD130,"Y",$C$2:C130,"2:00 PM",$E$2:E130,"N",$K$2:K130,"&lt;&gt;Y"),"")</f>
        <v/>
      </c>
      <c r="AN130" s="119">
        <f>IF(AND(AD130="Y",E130="N",K130="Y",OR(C130="12:15 PM",C130="2:00 PM")),SUMPRODUCT(($AD$2:AD130="Y")*($E$2:E130="N")*($K$2:K130="Y")*(($C$2:C130="12:15 PM")+($C$2:C130="2:00 PM"))), "")</f>
        <v/>
      </c>
      <c r="AO130" s="119">
        <f>IF(AND(AD130="Y",C130="12:15 PM",E130="N",L130="Y"),COUNTIFS($AD$2:AD130,"Y",$C$2:C130,"12:15 PM",$E$2:E130,"N",$L$2:L130,"Y"),"")</f>
        <v/>
      </c>
      <c r="AP130" s="119">
        <f>IF(AND(AD130="Y",C130="2:00 PM",E130="N",L130="Y"),COUNTIFS($AD$2:AD130,"Y",$C$2:C130,"2:00 PM",$E$2:E130,"N",$L$2:L130,"Y"),"")</f>
        <v/>
      </c>
    </row>
    <row r="131" ht="14.25" customHeight="1" s="120">
      <c r="A131" s="231" t="inlineStr">
        <is>
          <t>EMP-0137</t>
        </is>
      </c>
      <c r="B131" s="232" t="inlineStr">
        <is>
          <t>Teasia Arnold</t>
        </is>
      </c>
      <c r="C131" s="232" t="inlineStr">
        <is>
          <t>5:45 AM</t>
        </is>
      </c>
      <c r="D131" s="232" t="inlineStr">
        <is>
          <t>Mon, Tue</t>
        </is>
      </c>
      <c r="E131" s="232" t="inlineStr">
        <is>
          <t>N</t>
        </is>
      </c>
      <c r="F131" s="232" t="inlineStr">
        <is>
          <t>N</t>
        </is>
      </c>
      <c r="G131" s="232" t="inlineStr">
        <is>
          <t>Y</t>
        </is>
      </c>
      <c r="H131" s="232" t="inlineStr">
        <is>
          <t>None</t>
        </is>
      </c>
      <c r="I131" s="232" t="inlineStr">
        <is>
          <t>N</t>
        </is>
      </c>
      <c r="J131" s="232" t="inlineStr">
        <is>
          <t>N</t>
        </is>
      </c>
      <c r="K131" s="232" t="inlineStr">
        <is>
          <t>N</t>
        </is>
      </c>
      <c r="L131" s="232" t="inlineStr">
        <is>
          <t>Y</t>
        </is>
      </c>
      <c r="M131" s="232" t="inlineStr">
        <is>
          <t>Standard</t>
        </is>
      </c>
      <c r="N131" s="232" t="n"/>
      <c r="O131" s="232" t="n"/>
      <c r="P131" s="232" t="inlineStr">
        <is>
          <t>N</t>
        </is>
      </c>
      <c r="Q131" s="232" t="n"/>
      <c r="R131" s="232" t="n"/>
      <c r="S131" s="232" t="n"/>
      <c r="T131" s="233" t="inlineStr">
        <is>
          <t>N</t>
        </is>
      </c>
      <c r="U131" s="227">
        <f>IF($B131="","",IF(AND($G131="Y",ISERROR(SEARCH(TEXT('Control Center'!$B$3,"ddd"),TRIM($D131)))),"Y","N"))</f>
        <v/>
      </c>
      <c r="V131" s="227">
        <f>IF($B131="","",IF(AND($U131="Y",OR($C131="3:45 AM",$C131="5:45 AM"),OR('Control Center'!$B$4="N",$K131&lt;&gt;"Y")),"Y","N"))</f>
        <v/>
      </c>
      <c r="W131" s="227">
        <f>IF($B131="","",IF(AND($U131="Y",OR($C131="12:15 PM",$C131="2:00 PM"),OR('Control Center'!$B$5="N",$K131&lt;&gt;"Y")),"Y","N"))</f>
        <v/>
      </c>
      <c r="X131" s="228" t="n"/>
      <c r="Y131" s="229" t="n"/>
      <c r="Z131" s="228" t="n"/>
      <c r="AA131" s="229" t="n"/>
      <c r="AB131" s="230">
        <f>IF($B131="","",IF($P131="Y",IF($Y131="Y","Completed","In Progress"),""))</f>
        <v/>
      </c>
      <c r="AC131" s="119">
        <f>IF($B131="","",IF(COUNTIFS('Approved Absences'!$A$2:$A$200,$B131,'Approved Absences'!$B$2:$B$200,"&lt;="&amp;INT('Control Center'!$B$3),'Approved Absences'!$C$2:$C$200,"&gt;="&amp;INT('Control Center'!$B$3))&gt;0,"Y","N"))</f>
        <v/>
      </c>
      <c r="AD131" s="119">
        <f>IF($B131="","",IF(AND($G131="Y",$AC131&lt;&gt;"Y",ISERROR(SEARCH(TEXT('Control Center'!$B$3,"ddd"),TRIM($D131)))),"Y","N"))</f>
        <v/>
      </c>
      <c r="AE131" s="119">
        <f>IF(AND(AD131="Y",C131="3:45 AM",E131="N",K131&lt;&gt;"Y"),COUNTIFS($AD$2:AD131,"Y",$C$2:C131,"3:45 AM",$E$2:E131,"N",$K$2:K131,"&lt;&gt;Y"),"")</f>
        <v/>
      </c>
      <c r="AF131" s="119">
        <f>IF(AND(AD131="Y",C131="5:45 AM",E131="N",K131&lt;&gt;"Y"),COUNTIFS($AD$2:AD131,"Y",$C$2:C131,"5:45 AM",$E$2:E131,"N",$K$2:K131,"&lt;&gt;Y"),"")</f>
        <v/>
      </c>
      <c r="AG131" s="119">
        <f>IF(AND(AD131="Y",C131="3:45 AM",E131="N",L131="Y",K131&lt;&gt;"Y"),COUNTIFS($AD$2:AD131,"Y",$C$2:C131,"3:45 AM",$E$2:E131,"N",$L$2:L131,"Y",$K$2:K131,"&lt;&gt;Y"),"")</f>
        <v/>
      </c>
      <c r="AH131" s="119">
        <f>IF(AND(AD131="Y",C131="5:45 AM",E131="N",L131="Y",K131&lt;&gt;"Y"),COUNTIFS($AD$2:AD131,"Y",$C$2:C131,"5:45 AM",$E$2:E131,"N",$L$2:L131,"Y",$K$2:K131,"&lt;&gt;Y"),"")</f>
        <v/>
      </c>
      <c r="AI131" s="119">
        <f>IF(AND(AD131="Y",E131="N",K131="Y",OR(C131="3:45 AM",C131="5:45 AM")),SUMPRODUCT(($AD$2:AD131="Y")*($E$2:E131="N")*($K$2:K131="Y")*(($C$2:C131="3:45 AM")+($C$2:C131="5:45 AM"))), "")</f>
        <v/>
      </c>
      <c r="AJ131" s="119">
        <f>IF(AND(AD131="Y",C131="3:45 AM",E131="N",J131="Y"),COUNTIFS($AD$2:AD131,"Y",$C$2:C131,"3:45 AM",$E$2:E131,"N",$J$2:J131,"Y"),"")</f>
        <v/>
      </c>
      <c r="AK131" s="119">
        <f>IF(AND(AD131="Y",E131="N",I131="Y",OR(C131="3:45 AM",C131="5:45 AM")),SUMPRODUCT(($AD$2:AD131="Y")*($E$2:E131="N")*($I$2:I131="Y")*(($C$2:C131="3:45 AM")+($C$2:C131="5:45 AM"))), "")</f>
        <v/>
      </c>
      <c r="AL131" s="119">
        <f>IF(AND(AD131="Y",C131="12:15 PM",E131="N",K131&lt;&gt;"Y"),COUNTIFS($AD$2:AD131,"Y",$C$2:C131,"12:15 PM",$E$2:E131,"N",$K$2:K131,"&lt;&gt;Y"),"")</f>
        <v/>
      </c>
      <c r="AM131" s="119">
        <f>IF(AND(AD131="Y",C131="2:00 PM",E131="N",K131&lt;&gt;"Y"),COUNTIFS($AD$2:AD131,"Y",$C$2:C131,"2:00 PM",$E$2:E131,"N",$K$2:K131,"&lt;&gt;Y"),"")</f>
        <v/>
      </c>
      <c r="AN131" s="119">
        <f>IF(AND(AD131="Y",E131="N",K131="Y",OR(C131="12:15 PM",C131="2:00 PM")),SUMPRODUCT(($AD$2:AD131="Y")*($E$2:E131="N")*($K$2:K131="Y")*(($C$2:C131="12:15 PM")+($C$2:C131="2:00 PM"))), "")</f>
        <v/>
      </c>
      <c r="AO131" s="119">
        <f>IF(AND(AD131="Y",C131="12:15 PM",E131="N",L131="Y"),COUNTIFS($AD$2:AD131,"Y",$C$2:C131,"12:15 PM",$E$2:E131,"N",$L$2:L131,"Y"),"")</f>
        <v/>
      </c>
      <c r="AP131" s="119">
        <f>IF(AND(AD131="Y",C131="2:00 PM",E131="N",L131="Y"),COUNTIFS($AD$2:AD131,"Y",$C$2:C131,"2:00 PM",$E$2:E131,"N",$L$2:L131,"Y"),"")</f>
        <v/>
      </c>
    </row>
    <row r="132" ht="14.25" customHeight="1" s="120">
      <c r="A132" s="231" t="inlineStr">
        <is>
          <t>EMP-0138</t>
        </is>
      </c>
      <c r="B132" s="232" t="inlineStr">
        <is>
          <t>Terrell Leath</t>
        </is>
      </c>
      <c r="C132" s="232" t="inlineStr">
        <is>
          <t>5:45 AM</t>
        </is>
      </c>
      <c r="D132" s="232" t="inlineStr">
        <is>
          <t>Mon, Tue</t>
        </is>
      </c>
      <c r="E132" s="232" t="inlineStr">
        <is>
          <t>N</t>
        </is>
      </c>
      <c r="F132" s="232" t="inlineStr">
        <is>
          <t>N</t>
        </is>
      </c>
      <c r="G132" s="232" t="inlineStr">
        <is>
          <t>Y</t>
        </is>
      </c>
      <c r="H132" s="232" t="inlineStr">
        <is>
          <t>None</t>
        </is>
      </c>
      <c r="I132" s="232" t="inlineStr">
        <is>
          <t>N</t>
        </is>
      </c>
      <c r="J132" s="232" t="inlineStr">
        <is>
          <t>Y</t>
        </is>
      </c>
      <c r="K132" s="232" t="inlineStr">
        <is>
          <t>N</t>
        </is>
      </c>
      <c r="L132" s="232" t="inlineStr">
        <is>
          <t>Y</t>
        </is>
      </c>
      <c r="M132" s="232" t="inlineStr">
        <is>
          <t>Standard</t>
        </is>
      </c>
      <c r="N132" s="232" t="n"/>
      <c r="O132" s="232" t="n"/>
      <c r="P132" s="232" t="inlineStr">
        <is>
          <t>N</t>
        </is>
      </c>
      <c r="Q132" s="232" t="n"/>
      <c r="R132" s="232" t="n"/>
      <c r="S132" s="232" t="n"/>
      <c r="T132" s="233" t="inlineStr">
        <is>
          <t>N</t>
        </is>
      </c>
      <c r="U132" s="227">
        <f>IF($B132="","",IF(AND($G132="Y",ISERROR(SEARCH(TEXT('Control Center'!$B$3,"ddd"),TRIM($D132)))),"Y","N"))</f>
        <v/>
      </c>
      <c r="V132" s="227">
        <f>IF($B132="","",IF(AND($U132="Y",OR($C132="3:45 AM",$C132="5:45 AM"),OR('Control Center'!$B$4="N",$K132&lt;&gt;"Y")),"Y","N"))</f>
        <v/>
      </c>
      <c r="W132" s="227">
        <f>IF($B132="","",IF(AND($U132="Y",OR($C132="12:15 PM",$C132="2:00 PM"),OR('Control Center'!$B$5="N",$K132&lt;&gt;"Y")),"Y","N"))</f>
        <v/>
      </c>
      <c r="X132" s="228" t="n"/>
      <c r="Y132" s="229" t="n"/>
      <c r="Z132" s="228" t="n"/>
      <c r="AA132" s="229" t="n"/>
      <c r="AB132" s="230">
        <f>IF($B132="","",IF($P132="Y",IF($Y132="Y","Completed","In Progress"),""))</f>
        <v/>
      </c>
      <c r="AC132" s="119">
        <f>IF($B132="","",IF(COUNTIFS('Approved Absences'!$A$2:$A$200,$B132,'Approved Absences'!$B$2:$B$200,"&lt;="&amp;INT('Control Center'!$B$3),'Approved Absences'!$C$2:$C$200,"&gt;="&amp;INT('Control Center'!$B$3))&gt;0,"Y","N"))</f>
        <v/>
      </c>
      <c r="AD132" s="119">
        <f>IF($B132="","",IF(AND($G132="Y",$AC132&lt;&gt;"Y",ISERROR(SEARCH(TEXT('Control Center'!$B$3,"ddd"),TRIM($D132)))),"Y","N"))</f>
        <v/>
      </c>
      <c r="AE132" s="119">
        <f>IF(AND(AD132="Y",C132="3:45 AM",E132="N",K132&lt;&gt;"Y"),COUNTIFS($AD$2:AD132,"Y",$C$2:C132,"3:45 AM",$E$2:E132,"N",$K$2:K132,"&lt;&gt;Y"),"")</f>
        <v/>
      </c>
      <c r="AF132" s="119">
        <f>IF(AND(AD132="Y",C132="5:45 AM",E132="N",K132&lt;&gt;"Y"),COUNTIFS($AD$2:AD132,"Y",$C$2:C132,"5:45 AM",$E$2:E132,"N",$K$2:K132,"&lt;&gt;Y"),"")</f>
        <v/>
      </c>
      <c r="AG132" s="119">
        <f>IF(AND(AD132="Y",C132="3:45 AM",E132="N",L132="Y",K132&lt;&gt;"Y"),COUNTIFS($AD$2:AD132,"Y",$C$2:C132,"3:45 AM",$E$2:E132,"N",$L$2:L132,"Y",$K$2:K132,"&lt;&gt;Y"),"")</f>
        <v/>
      </c>
      <c r="AH132" s="119">
        <f>IF(AND(AD132="Y",C132="5:45 AM",E132="N",L132="Y",K132&lt;&gt;"Y"),COUNTIFS($AD$2:AD132,"Y",$C$2:C132,"5:45 AM",$E$2:E132,"N",$L$2:L132,"Y",$K$2:K132,"&lt;&gt;Y"),"")</f>
        <v/>
      </c>
      <c r="AI132" s="119">
        <f>IF(AND(AD132="Y",E132="N",K132="Y",OR(C132="3:45 AM",C132="5:45 AM")),SUMPRODUCT(($AD$2:AD132="Y")*($E$2:E132="N")*($K$2:K132="Y")*(($C$2:C132="3:45 AM")+($C$2:C132="5:45 AM"))), "")</f>
        <v/>
      </c>
      <c r="AJ132" s="119">
        <f>IF(AND(AD132="Y",C132="3:45 AM",E132="N",J132="Y"),COUNTIFS($AD$2:AD132,"Y",$C$2:C132,"3:45 AM",$E$2:E132,"N",$J$2:J132,"Y"),"")</f>
        <v/>
      </c>
      <c r="AK132" s="119">
        <f>IF(AND(AD132="Y",E132="N",I132="Y",OR(C132="3:45 AM",C132="5:45 AM")),SUMPRODUCT(($AD$2:AD132="Y")*($E$2:E132="N")*($I$2:I132="Y")*(($C$2:C132="3:45 AM")+($C$2:C132="5:45 AM"))), "")</f>
        <v/>
      </c>
      <c r="AL132" s="119">
        <f>IF(AND(AD132="Y",C132="12:15 PM",E132="N",K132&lt;&gt;"Y"),COUNTIFS($AD$2:AD132,"Y",$C$2:C132,"12:15 PM",$E$2:E132,"N",$K$2:K132,"&lt;&gt;Y"),"")</f>
        <v/>
      </c>
      <c r="AM132" s="119">
        <f>IF(AND(AD132="Y",C132="2:00 PM",E132="N",K132&lt;&gt;"Y"),COUNTIFS($AD$2:AD132,"Y",$C$2:C132,"2:00 PM",$E$2:E132,"N",$K$2:K132,"&lt;&gt;Y"),"")</f>
        <v/>
      </c>
      <c r="AN132" s="119">
        <f>IF(AND(AD132="Y",E132="N",K132="Y",OR(C132="12:15 PM",C132="2:00 PM")),SUMPRODUCT(($AD$2:AD132="Y")*($E$2:E132="N")*($K$2:K132="Y")*(($C$2:C132="12:15 PM")+($C$2:C132="2:00 PM"))), "")</f>
        <v/>
      </c>
      <c r="AO132" s="119">
        <f>IF(AND(AD132="Y",C132="12:15 PM",E132="N",L132="Y"),COUNTIFS($AD$2:AD132,"Y",$C$2:C132,"12:15 PM",$E$2:E132,"N",$L$2:L132,"Y"),"")</f>
        <v/>
      </c>
      <c r="AP132" s="119">
        <f>IF(AND(AD132="Y",C132="2:00 PM",E132="N",L132="Y"),COUNTIFS($AD$2:AD132,"Y",$C$2:C132,"2:00 PM",$E$2:E132,"N",$L$2:L132,"Y"),"")</f>
        <v/>
      </c>
    </row>
    <row r="133" ht="14.25" customHeight="1" s="120">
      <c r="A133" s="231" t="inlineStr">
        <is>
          <t>EMP-0139</t>
        </is>
      </c>
      <c r="B133" s="232" t="inlineStr">
        <is>
          <t>Terry Freeman</t>
        </is>
      </c>
      <c r="C133" s="232" t="inlineStr">
        <is>
          <t>12:15 PM</t>
        </is>
      </c>
      <c r="D133" s="232" t="inlineStr">
        <is>
          <t>Sat, Sun</t>
        </is>
      </c>
      <c r="E133" s="232" t="inlineStr">
        <is>
          <t>Y</t>
        </is>
      </c>
      <c r="F133" s="232" t="inlineStr">
        <is>
          <t>N</t>
        </is>
      </c>
      <c r="G133" s="232" t="inlineStr">
        <is>
          <t>Y</t>
        </is>
      </c>
      <c r="H133" s="232" t="inlineStr">
        <is>
          <t>None</t>
        </is>
      </c>
      <c r="I133" s="232" t="inlineStr">
        <is>
          <t>N</t>
        </is>
      </c>
      <c r="J133" s="232" t="inlineStr">
        <is>
          <t>N</t>
        </is>
      </c>
      <c r="K133" s="232" t="inlineStr">
        <is>
          <t>N</t>
        </is>
      </c>
      <c r="L133" s="232" t="inlineStr">
        <is>
          <t>Y</t>
        </is>
      </c>
      <c r="M133" s="232" t="inlineStr">
        <is>
          <t>Standard</t>
        </is>
      </c>
      <c r="N133" s="232" t="n"/>
      <c r="O133" s="232" t="n"/>
      <c r="P133" s="232" t="inlineStr">
        <is>
          <t>N</t>
        </is>
      </c>
      <c r="Q133" s="232" t="n"/>
      <c r="R133" s="232" t="n"/>
      <c r="S133" s="232" t="n"/>
      <c r="T133" s="233" t="inlineStr">
        <is>
          <t>N</t>
        </is>
      </c>
      <c r="U133" s="227">
        <f>IF($B133="","",IF(AND($G133="Y",ISERROR(SEARCH(TEXT('Control Center'!$B$3,"ddd"),TRIM($D133)))),"Y","N"))</f>
        <v/>
      </c>
      <c r="V133" s="227">
        <f>IF($B133="","",IF(AND($U133="Y",OR($C133="3:45 AM",$C133="5:45 AM"),OR('Control Center'!$B$4="N",$K133&lt;&gt;"Y")),"Y","N"))</f>
        <v/>
      </c>
      <c r="W133" s="227">
        <f>IF($B133="","",IF(AND($U133="Y",OR($C133="12:15 PM",$C133="2:00 PM"),OR('Control Center'!$B$5="N",$K133&lt;&gt;"Y")),"Y","N"))</f>
        <v/>
      </c>
      <c r="X133" s="228" t="n"/>
      <c r="Y133" s="229" t="n"/>
      <c r="Z133" s="228" t="n"/>
      <c r="AA133" s="229" t="n"/>
      <c r="AB133" s="230">
        <f>IF($B133="","",IF($P133="Y",IF($Y133="Y","Completed","In Progress"),""))</f>
        <v/>
      </c>
      <c r="AC133" s="119">
        <f>IF($B133="","",IF(COUNTIFS('Approved Absences'!$A$2:$A$200,$B133,'Approved Absences'!$B$2:$B$200,"&lt;="&amp;INT('Control Center'!$B$3),'Approved Absences'!$C$2:$C$200,"&gt;="&amp;INT('Control Center'!$B$3))&gt;0,"Y","N"))</f>
        <v/>
      </c>
      <c r="AD133" s="119">
        <f>IF($B133="","",IF(AND($G133="Y",$AC133&lt;&gt;"Y",ISERROR(SEARCH(TEXT('Control Center'!$B$3,"ddd"),TRIM($D133)))),"Y","N"))</f>
        <v/>
      </c>
      <c r="AE133" s="119">
        <f>IF(AND(AD133="Y",C133="3:45 AM",E133="N",K133&lt;&gt;"Y"),COUNTIFS($AD$2:AD133,"Y",$C$2:C133,"3:45 AM",$E$2:E133,"N",$K$2:K133,"&lt;&gt;Y"),"")</f>
        <v/>
      </c>
      <c r="AF133" s="119">
        <f>IF(AND(AD133="Y",C133="5:45 AM",E133="N",K133&lt;&gt;"Y"),COUNTIFS($AD$2:AD133,"Y",$C$2:C133,"5:45 AM",$E$2:E133,"N",$K$2:K133,"&lt;&gt;Y"),"")</f>
        <v/>
      </c>
      <c r="AG133" s="119">
        <f>IF(AND(AD133="Y",C133="3:45 AM",E133="N",L133="Y",K133&lt;&gt;"Y"),COUNTIFS($AD$2:AD133,"Y",$C$2:C133,"3:45 AM",$E$2:E133,"N",$L$2:L133,"Y",$K$2:K133,"&lt;&gt;Y"),"")</f>
        <v/>
      </c>
      <c r="AH133" s="119">
        <f>IF(AND(AD133="Y",C133="5:45 AM",E133="N",L133="Y",K133&lt;&gt;"Y"),COUNTIFS($AD$2:AD133,"Y",$C$2:C133,"5:45 AM",$E$2:E133,"N",$L$2:L133,"Y",$K$2:K133,"&lt;&gt;Y"),"")</f>
        <v/>
      </c>
      <c r="AI133" s="119">
        <f>IF(AND(AD133="Y",E133="N",K133="Y",OR(C133="3:45 AM",C133="5:45 AM")),SUMPRODUCT(($AD$2:AD133="Y")*($E$2:E133="N")*($K$2:K133="Y")*(($C$2:C133="3:45 AM")+($C$2:C133="5:45 AM"))), "")</f>
        <v/>
      </c>
      <c r="AJ133" s="119">
        <f>IF(AND(AD133="Y",C133="3:45 AM",E133="N",J133="Y"),COUNTIFS($AD$2:AD133,"Y",$C$2:C133,"3:45 AM",$E$2:E133,"N",$J$2:J133,"Y"),"")</f>
        <v/>
      </c>
      <c r="AK133" s="119">
        <f>IF(AND(AD133="Y",E133="N",I133="Y",OR(C133="3:45 AM",C133="5:45 AM")),SUMPRODUCT(($AD$2:AD133="Y")*($E$2:E133="N")*($I$2:I133="Y")*(($C$2:C133="3:45 AM")+($C$2:C133="5:45 AM"))), "")</f>
        <v/>
      </c>
      <c r="AL133" s="119">
        <f>IF(AND(AD133="Y",C133="12:15 PM",E133="N",K133&lt;&gt;"Y"),COUNTIFS($AD$2:AD133,"Y",$C$2:C133,"12:15 PM",$E$2:E133,"N",$K$2:K133,"&lt;&gt;Y"),"")</f>
        <v/>
      </c>
      <c r="AM133" s="119">
        <f>IF(AND(AD133="Y",C133="2:00 PM",E133="N",K133&lt;&gt;"Y"),COUNTIFS($AD$2:AD133,"Y",$C$2:C133,"2:00 PM",$E$2:E133,"N",$K$2:K133,"&lt;&gt;Y"),"")</f>
        <v/>
      </c>
      <c r="AN133" s="119">
        <f>IF(AND(AD133="Y",E133="N",K133="Y",OR(C133="12:15 PM",C133="2:00 PM")),SUMPRODUCT(($AD$2:AD133="Y")*($E$2:E133="N")*($K$2:K133="Y")*(($C$2:C133="12:15 PM")+($C$2:C133="2:00 PM"))), "")</f>
        <v/>
      </c>
      <c r="AO133" s="119">
        <f>IF(AND(AD133="Y",C133="12:15 PM",E133="N",L133="Y"),COUNTIFS($AD$2:AD133,"Y",$C$2:C133,"12:15 PM",$E$2:E133,"N",$L$2:L133,"Y"),"")</f>
        <v/>
      </c>
      <c r="AP133" s="119">
        <f>IF(AND(AD133="Y",C133="2:00 PM",E133="N",L133="Y"),COUNTIFS($AD$2:AD133,"Y",$C$2:C133,"2:00 PM",$E$2:E133,"N",$L$2:L133,"Y"),"")</f>
        <v/>
      </c>
    </row>
    <row r="134" ht="14.25" customHeight="1" s="120">
      <c r="A134" s="231" t="inlineStr">
        <is>
          <t>EMP-0140</t>
        </is>
      </c>
      <c r="B134" s="232" t="inlineStr">
        <is>
          <t>Theresa Logan</t>
        </is>
      </c>
      <c r="C134" s="232" t="inlineStr">
        <is>
          <t>2:00 PM</t>
        </is>
      </c>
      <c r="D134" s="232" t="inlineStr">
        <is>
          <t>Wed, Thu</t>
        </is>
      </c>
      <c r="E134" s="232" t="inlineStr">
        <is>
          <t>N</t>
        </is>
      </c>
      <c r="F134" s="232" t="inlineStr">
        <is>
          <t>N</t>
        </is>
      </c>
      <c r="G134" s="232" t="inlineStr">
        <is>
          <t>Y</t>
        </is>
      </c>
      <c r="H134" s="232" t="inlineStr">
        <is>
          <t>None</t>
        </is>
      </c>
      <c r="I134" s="232" t="inlineStr">
        <is>
          <t>N</t>
        </is>
      </c>
      <c r="J134" s="232" t="inlineStr">
        <is>
          <t>N</t>
        </is>
      </c>
      <c r="K134" s="232" t="inlineStr">
        <is>
          <t>N</t>
        </is>
      </c>
      <c r="L134" s="232" t="inlineStr">
        <is>
          <t>Y</t>
        </is>
      </c>
      <c r="M134" s="232" t="inlineStr">
        <is>
          <t>Standard</t>
        </is>
      </c>
      <c r="N134" s="232" t="n"/>
      <c r="O134" s="232" t="n"/>
      <c r="P134" s="232" t="inlineStr">
        <is>
          <t>N</t>
        </is>
      </c>
      <c r="Q134" s="232" t="n"/>
      <c r="R134" s="232" t="n"/>
      <c r="S134" s="232" t="n"/>
      <c r="T134" s="233" t="inlineStr">
        <is>
          <t>N</t>
        </is>
      </c>
      <c r="U134" s="227">
        <f>IF($B134="","",IF(AND($G134="Y",ISERROR(SEARCH(TEXT('Control Center'!$B$3,"ddd"),TRIM($D134)))),"Y","N"))</f>
        <v/>
      </c>
      <c r="V134" s="227">
        <f>IF($B134="","",IF(AND($U134="Y",OR($C134="3:45 AM",$C134="5:45 AM"),OR('Control Center'!$B$4="N",$K134&lt;&gt;"Y")),"Y","N"))</f>
        <v/>
      </c>
      <c r="W134" s="227">
        <f>IF($B134="","",IF(AND($U134="Y",OR($C134="12:15 PM",$C134="2:00 PM"),OR('Control Center'!$B$5="N",$K134&lt;&gt;"Y")),"Y","N"))</f>
        <v/>
      </c>
      <c r="X134" s="228" t="n"/>
      <c r="Y134" s="229" t="n"/>
      <c r="Z134" s="228" t="n"/>
      <c r="AA134" s="229" t="n"/>
      <c r="AB134" s="230">
        <f>IF($B134="","",IF($P134="Y",IF($Y134="Y","Completed","In Progress"),""))</f>
        <v/>
      </c>
      <c r="AC134" s="119">
        <f>IF($B134="","",IF(COUNTIFS('Approved Absences'!$A$2:$A$200,$B134,'Approved Absences'!$B$2:$B$200,"&lt;="&amp;INT('Control Center'!$B$3),'Approved Absences'!$C$2:$C$200,"&gt;="&amp;INT('Control Center'!$B$3))&gt;0,"Y","N"))</f>
        <v/>
      </c>
      <c r="AD134" s="119">
        <f>IF($B134="","",IF(AND($G134="Y",$AC134&lt;&gt;"Y",ISERROR(SEARCH(TEXT('Control Center'!$B$3,"ddd"),TRIM($D134)))),"Y","N"))</f>
        <v/>
      </c>
      <c r="AE134" s="119">
        <f>IF(AND(AD134="Y",C134="3:45 AM",E134="N",K134&lt;&gt;"Y"),COUNTIFS($AD$2:AD134,"Y",$C$2:C134,"3:45 AM",$E$2:E134,"N",$K$2:K134,"&lt;&gt;Y"),"")</f>
        <v/>
      </c>
      <c r="AF134" s="119">
        <f>IF(AND(AD134="Y",C134="5:45 AM",E134="N",K134&lt;&gt;"Y"),COUNTIFS($AD$2:AD134,"Y",$C$2:C134,"5:45 AM",$E$2:E134,"N",$K$2:K134,"&lt;&gt;Y"),"")</f>
        <v/>
      </c>
      <c r="AG134" s="119">
        <f>IF(AND(AD134="Y",C134="3:45 AM",E134="N",L134="Y",K134&lt;&gt;"Y"),COUNTIFS($AD$2:AD134,"Y",$C$2:C134,"3:45 AM",$E$2:E134,"N",$L$2:L134,"Y",$K$2:K134,"&lt;&gt;Y"),"")</f>
        <v/>
      </c>
      <c r="AH134" s="119">
        <f>IF(AND(AD134="Y",C134="5:45 AM",E134="N",L134="Y",K134&lt;&gt;"Y"),COUNTIFS($AD$2:AD134,"Y",$C$2:C134,"5:45 AM",$E$2:E134,"N",$L$2:L134,"Y",$K$2:K134,"&lt;&gt;Y"),"")</f>
        <v/>
      </c>
      <c r="AI134" s="119">
        <f>IF(AND(AD134="Y",E134="N",K134="Y",OR(C134="3:45 AM",C134="5:45 AM")),SUMPRODUCT(($AD$2:AD134="Y")*($E$2:E134="N")*($K$2:K134="Y")*(($C$2:C134="3:45 AM")+($C$2:C134="5:45 AM"))), "")</f>
        <v/>
      </c>
      <c r="AJ134" s="119">
        <f>IF(AND(AD134="Y",C134="3:45 AM",E134="N",J134="Y"),COUNTIFS($AD$2:AD134,"Y",$C$2:C134,"3:45 AM",$E$2:E134,"N",$J$2:J134,"Y"),"")</f>
        <v/>
      </c>
      <c r="AK134" s="119">
        <f>IF(AND(AD134="Y",E134="N",I134="Y",OR(C134="3:45 AM",C134="5:45 AM")),SUMPRODUCT(($AD$2:AD134="Y")*($E$2:E134="N")*($I$2:I134="Y")*(($C$2:C134="3:45 AM")+($C$2:C134="5:45 AM"))), "")</f>
        <v/>
      </c>
      <c r="AL134" s="119">
        <f>IF(AND(AD134="Y",C134="12:15 PM",E134="N",K134&lt;&gt;"Y"),COUNTIFS($AD$2:AD134,"Y",$C$2:C134,"12:15 PM",$E$2:E134,"N",$K$2:K134,"&lt;&gt;Y"),"")</f>
        <v/>
      </c>
      <c r="AM134" s="119">
        <f>IF(AND(AD134="Y",C134="2:00 PM",E134="N",K134&lt;&gt;"Y"),COUNTIFS($AD$2:AD134,"Y",$C$2:C134,"2:00 PM",$E$2:E134,"N",$K$2:K134,"&lt;&gt;Y"),"")</f>
        <v/>
      </c>
      <c r="AN134" s="119">
        <f>IF(AND(AD134="Y",E134="N",K134="Y",OR(C134="12:15 PM",C134="2:00 PM")),SUMPRODUCT(($AD$2:AD134="Y")*($E$2:E134="N")*($K$2:K134="Y")*(($C$2:C134="12:15 PM")+($C$2:C134="2:00 PM"))), "")</f>
        <v/>
      </c>
      <c r="AO134" s="119">
        <f>IF(AND(AD134="Y",C134="12:15 PM",E134="N",L134="Y"),COUNTIFS($AD$2:AD134,"Y",$C$2:C134,"12:15 PM",$E$2:E134,"N",$L$2:L134,"Y"),"")</f>
        <v/>
      </c>
      <c r="AP134" s="119">
        <f>IF(AND(AD134="Y",C134="2:00 PM",E134="N",L134="Y"),COUNTIFS($AD$2:AD134,"Y",$C$2:C134,"2:00 PM",$E$2:E134,"N",$L$2:L134,"Y"),"")</f>
        <v/>
      </c>
    </row>
    <row r="135" ht="14.25" customHeight="1" s="120">
      <c r="A135" s="231" t="inlineStr">
        <is>
          <t>EMP-0141</t>
        </is>
      </c>
      <c r="B135" s="232" t="inlineStr">
        <is>
          <t>Tiffany Felton</t>
        </is>
      </c>
      <c r="C135" s="232" t="inlineStr">
        <is>
          <t>3:45 AM</t>
        </is>
      </c>
      <c r="D135" s="232" t="inlineStr">
        <is>
          <t>Sat, Sun</t>
        </is>
      </c>
      <c r="E135" s="232" t="inlineStr">
        <is>
          <t>N</t>
        </is>
      </c>
      <c r="F135" s="232" t="inlineStr">
        <is>
          <t>N</t>
        </is>
      </c>
      <c r="G135" s="232" t="inlineStr">
        <is>
          <t>Y</t>
        </is>
      </c>
      <c r="H135" s="232" t="inlineStr">
        <is>
          <t>None</t>
        </is>
      </c>
      <c r="I135" s="232" t="inlineStr">
        <is>
          <t>N</t>
        </is>
      </c>
      <c r="J135" s="232" t="inlineStr">
        <is>
          <t>N</t>
        </is>
      </c>
      <c r="K135" s="232" t="inlineStr">
        <is>
          <t>N</t>
        </is>
      </c>
      <c r="L135" s="232" t="inlineStr">
        <is>
          <t>Y</t>
        </is>
      </c>
      <c r="M135" s="232" t="inlineStr">
        <is>
          <t>Standard</t>
        </is>
      </c>
      <c r="N135" s="232" t="n"/>
      <c r="O135" s="232" t="n"/>
      <c r="P135" s="232" t="inlineStr">
        <is>
          <t>N</t>
        </is>
      </c>
      <c r="Q135" s="232" t="n"/>
      <c r="R135" s="232" t="n"/>
      <c r="S135" s="232" t="n"/>
      <c r="T135" s="233" t="inlineStr">
        <is>
          <t>N</t>
        </is>
      </c>
      <c r="U135" s="227">
        <f>IF($B135="","",IF(AND($G135="Y",ISERROR(SEARCH(TEXT('Control Center'!$B$3,"ddd"),TRIM($D135)))),"Y","N"))</f>
        <v/>
      </c>
      <c r="V135" s="227">
        <f>IF($B135="","",IF(AND($U135="Y",OR($C135="3:45 AM",$C135="5:45 AM"),OR('Control Center'!$B$4="N",$K135&lt;&gt;"Y")),"Y","N"))</f>
        <v/>
      </c>
      <c r="W135" s="227">
        <f>IF($B135="","",IF(AND($U135="Y",OR($C135="12:15 PM",$C135="2:00 PM"),OR('Control Center'!$B$5="N",$K135&lt;&gt;"Y")),"Y","N"))</f>
        <v/>
      </c>
      <c r="X135" s="228" t="n"/>
      <c r="Y135" s="229" t="n"/>
      <c r="Z135" s="228" t="n"/>
      <c r="AA135" s="229" t="n"/>
      <c r="AB135" s="230">
        <f>IF($B135="","",IF($P135="Y",IF($Y135="Y","Completed","In Progress"),""))</f>
        <v/>
      </c>
      <c r="AC135" s="119">
        <f>IF($B135="","",IF(COUNTIFS('Approved Absences'!$A$2:$A$200,$B135,'Approved Absences'!$B$2:$B$200,"&lt;="&amp;INT('Control Center'!$B$3),'Approved Absences'!$C$2:$C$200,"&gt;="&amp;INT('Control Center'!$B$3))&gt;0,"Y","N"))</f>
        <v/>
      </c>
      <c r="AD135" s="119">
        <f>IF($B135="","",IF(AND($G135="Y",$AC135&lt;&gt;"Y",ISERROR(SEARCH(TEXT('Control Center'!$B$3,"ddd"),TRIM($D135)))),"Y","N"))</f>
        <v/>
      </c>
      <c r="AE135" s="119">
        <f>IF(AND(AD135="Y",C135="3:45 AM",E135="N",K135&lt;&gt;"Y"),COUNTIFS($AD$2:AD135,"Y",$C$2:C135,"3:45 AM",$E$2:E135,"N",$K$2:K135,"&lt;&gt;Y"),"")</f>
        <v/>
      </c>
      <c r="AF135" s="119">
        <f>IF(AND(AD135="Y",C135="5:45 AM",E135="N",K135&lt;&gt;"Y"),COUNTIFS($AD$2:AD135,"Y",$C$2:C135,"5:45 AM",$E$2:E135,"N",$K$2:K135,"&lt;&gt;Y"),"")</f>
        <v/>
      </c>
      <c r="AG135" s="119">
        <f>IF(AND(AD135="Y",C135="3:45 AM",E135="N",L135="Y",K135&lt;&gt;"Y"),COUNTIFS($AD$2:AD135,"Y",$C$2:C135,"3:45 AM",$E$2:E135,"N",$L$2:L135,"Y",$K$2:K135,"&lt;&gt;Y"),"")</f>
        <v/>
      </c>
      <c r="AH135" s="119">
        <f>IF(AND(AD135="Y",C135="5:45 AM",E135="N",L135="Y",K135&lt;&gt;"Y"),COUNTIFS($AD$2:AD135,"Y",$C$2:C135,"5:45 AM",$E$2:E135,"N",$L$2:L135,"Y",$K$2:K135,"&lt;&gt;Y"),"")</f>
        <v/>
      </c>
      <c r="AI135" s="119">
        <f>IF(AND(AD135="Y",E135="N",K135="Y",OR(C135="3:45 AM",C135="5:45 AM")),SUMPRODUCT(($AD$2:AD135="Y")*($E$2:E135="N")*($K$2:K135="Y")*(($C$2:C135="3:45 AM")+($C$2:C135="5:45 AM"))), "")</f>
        <v/>
      </c>
      <c r="AJ135" s="119">
        <f>IF(AND(AD135="Y",C135="3:45 AM",E135="N",J135="Y"),COUNTIFS($AD$2:AD135,"Y",$C$2:C135,"3:45 AM",$E$2:E135,"N",$J$2:J135,"Y"),"")</f>
        <v/>
      </c>
      <c r="AK135" s="119">
        <f>IF(AND(AD135="Y",E135="N",I135="Y",OR(C135="3:45 AM",C135="5:45 AM")),SUMPRODUCT(($AD$2:AD135="Y")*($E$2:E135="N")*($I$2:I135="Y")*(($C$2:C135="3:45 AM")+($C$2:C135="5:45 AM"))), "")</f>
        <v/>
      </c>
      <c r="AL135" s="119">
        <f>IF(AND(AD135="Y",C135="12:15 PM",E135="N",K135&lt;&gt;"Y"),COUNTIFS($AD$2:AD135,"Y",$C$2:C135,"12:15 PM",$E$2:E135,"N",$K$2:K135,"&lt;&gt;Y"),"")</f>
        <v/>
      </c>
      <c r="AM135" s="119">
        <f>IF(AND(AD135="Y",C135="2:00 PM",E135="N",K135&lt;&gt;"Y"),COUNTIFS($AD$2:AD135,"Y",$C$2:C135,"2:00 PM",$E$2:E135,"N",$K$2:K135,"&lt;&gt;Y"),"")</f>
        <v/>
      </c>
      <c r="AN135" s="119">
        <f>IF(AND(AD135="Y",E135="N",K135="Y",OR(C135="12:15 PM",C135="2:00 PM")),SUMPRODUCT(($AD$2:AD135="Y")*($E$2:E135="N")*($K$2:K135="Y")*(($C$2:C135="12:15 PM")+($C$2:C135="2:00 PM"))), "")</f>
        <v/>
      </c>
      <c r="AO135" s="119">
        <f>IF(AND(AD135="Y",C135="12:15 PM",E135="N",L135="Y"),COUNTIFS($AD$2:AD135,"Y",$C$2:C135,"12:15 PM",$E$2:E135,"N",$L$2:L135,"Y"),"")</f>
        <v/>
      </c>
      <c r="AP135" s="119">
        <f>IF(AND(AD135="Y",C135="2:00 PM",E135="N",L135="Y"),COUNTIFS($AD$2:AD135,"Y",$C$2:C135,"2:00 PM",$E$2:E135,"N",$L$2:L135,"Y"),"")</f>
        <v/>
      </c>
    </row>
    <row r="136" ht="14.25" customHeight="1" s="120">
      <c r="A136" s="231" t="inlineStr">
        <is>
          <t>EMP-0142</t>
        </is>
      </c>
      <c r="B136" s="232" t="inlineStr">
        <is>
          <t>Timicha Marshall</t>
        </is>
      </c>
      <c r="C136" s="232" t="inlineStr">
        <is>
          <t>2:00 PM</t>
        </is>
      </c>
      <c r="D136" s="232" t="inlineStr">
        <is>
          <t>Tue, Wed</t>
        </is>
      </c>
      <c r="E136" s="232" t="inlineStr">
        <is>
          <t>N</t>
        </is>
      </c>
      <c r="F136" s="232" t="inlineStr">
        <is>
          <t>Y</t>
        </is>
      </c>
      <c r="G136" s="232" t="inlineStr">
        <is>
          <t>Y</t>
        </is>
      </c>
      <c r="H136" s="232" t="inlineStr">
        <is>
          <t>None</t>
        </is>
      </c>
      <c r="I136" s="232" t="inlineStr">
        <is>
          <t>N</t>
        </is>
      </c>
      <c r="J136" s="232" t="inlineStr">
        <is>
          <t>Y</t>
        </is>
      </c>
      <c r="K136" s="232" t="inlineStr">
        <is>
          <t>N</t>
        </is>
      </c>
      <c r="L136" s="232" t="inlineStr">
        <is>
          <t>Y</t>
        </is>
      </c>
      <c r="M136" s="232" t="inlineStr">
        <is>
          <t>Standard</t>
        </is>
      </c>
      <c r="N136" s="232" t="n"/>
      <c r="O136" s="232" t="n"/>
      <c r="P136" s="232" t="inlineStr">
        <is>
          <t>N</t>
        </is>
      </c>
      <c r="Q136" s="232" t="n"/>
      <c r="R136" s="232" t="n"/>
      <c r="S136" s="232" t="n"/>
      <c r="T136" s="233" t="inlineStr">
        <is>
          <t>N</t>
        </is>
      </c>
      <c r="U136" s="227">
        <f>IF($B136="","",IF(AND($G136="Y",ISERROR(SEARCH(TEXT('Control Center'!$B$3,"ddd"),TRIM($D136)))),"Y","N"))</f>
        <v/>
      </c>
      <c r="V136" s="227">
        <f>IF($B136="","",IF(AND($U136="Y",OR($C136="3:45 AM",$C136="5:45 AM"),OR('Control Center'!$B$4="N",$K136&lt;&gt;"Y")),"Y","N"))</f>
        <v/>
      </c>
      <c r="W136" s="227">
        <f>IF($B136="","",IF(AND($U136="Y",OR($C136="12:15 PM",$C136="2:00 PM"),OR('Control Center'!$B$5="N",$K136&lt;&gt;"Y")),"Y","N"))</f>
        <v/>
      </c>
      <c r="X136" s="228" t="n"/>
      <c r="Y136" s="229" t="n"/>
      <c r="Z136" s="228" t="n"/>
      <c r="AA136" s="229" t="n"/>
      <c r="AB136" s="230">
        <f>IF($B136="","",IF($P136="Y",IF($Y136="Y","Completed","In Progress"),""))</f>
        <v/>
      </c>
      <c r="AC136" s="119">
        <f>IF($B136="","",IF(COUNTIFS('Approved Absences'!$A$2:$A$200,$B136,'Approved Absences'!$B$2:$B$200,"&lt;="&amp;INT('Control Center'!$B$3),'Approved Absences'!$C$2:$C$200,"&gt;="&amp;INT('Control Center'!$B$3))&gt;0,"Y","N"))</f>
        <v/>
      </c>
      <c r="AD136" s="119">
        <f>IF($B136="","",IF(AND($G136="Y",$AC136&lt;&gt;"Y",ISERROR(SEARCH(TEXT('Control Center'!$B$3,"ddd"),TRIM($D136)))),"Y","N"))</f>
        <v/>
      </c>
      <c r="AE136" s="119">
        <f>IF(AND(AD136="Y",C136="3:45 AM",E136="N",K136&lt;&gt;"Y"),COUNTIFS($AD$2:AD136,"Y",$C$2:C136,"3:45 AM",$E$2:E136,"N",$K$2:K136,"&lt;&gt;Y"),"")</f>
        <v/>
      </c>
      <c r="AF136" s="119">
        <f>IF(AND(AD136="Y",C136="5:45 AM",E136="N",K136&lt;&gt;"Y"),COUNTIFS($AD$2:AD136,"Y",$C$2:C136,"5:45 AM",$E$2:E136,"N",$K$2:K136,"&lt;&gt;Y"),"")</f>
        <v/>
      </c>
      <c r="AG136" s="119">
        <f>IF(AND(AD136="Y",C136="3:45 AM",E136="N",L136="Y",K136&lt;&gt;"Y"),COUNTIFS($AD$2:AD136,"Y",$C$2:C136,"3:45 AM",$E$2:E136,"N",$L$2:L136,"Y",$K$2:K136,"&lt;&gt;Y"),"")</f>
        <v/>
      </c>
      <c r="AH136" s="119">
        <f>IF(AND(AD136="Y",C136="5:45 AM",E136="N",L136="Y",K136&lt;&gt;"Y"),COUNTIFS($AD$2:AD136,"Y",$C$2:C136,"5:45 AM",$E$2:E136,"N",$L$2:L136,"Y",$K$2:K136,"&lt;&gt;Y"),"")</f>
        <v/>
      </c>
      <c r="AI136" s="119">
        <f>IF(AND(AD136="Y",E136="N",K136="Y",OR(C136="3:45 AM",C136="5:45 AM")),SUMPRODUCT(($AD$2:AD136="Y")*($E$2:E136="N")*($K$2:K136="Y")*(($C$2:C136="3:45 AM")+($C$2:C136="5:45 AM"))), "")</f>
        <v/>
      </c>
      <c r="AJ136" s="119">
        <f>IF(AND(AD136="Y",C136="3:45 AM",E136="N",J136="Y"),COUNTIFS($AD$2:AD136,"Y",$C$2:C136,"3:45 AM",$E$2:E136,"N",$J$2:J136,"Y"),"")</f>
        <v/>
      </c>
      <c r="AK136" s="119">
        <f>IF(AND(AD136="Y",E136="N",I136="Y",OR(C136="3:45 AM",C136="5:45 AM")),SUMPRODUCT(($AD$2:AD136="Y")*($E$2:E136="N")*($I$2:I136="Y")*(($C$2:C136="3:45 AM")+($C$2:C136="5:45 AM"))), "")</f>
        <v/>
      </c>
      <c r="AL136" s="119">
        <f>IF(AND(AD136="Y",C136="12:15 PM",E136="N",K136&lt;&gt;"Y"),COUNTIFS($AD$2:AD136,"Y",$C$2:C136,"12:15 PM",$E$2:E136,"N",$K$2:K136,"&lt;&gt;Y"),"")</f>
        <v/>
      </c>
      <c r="AM136" s="119">
        <f>IF(AND(AD136="Y",C136="2:00 PM",E136="N",K136&lt;&gt;"Y"),COUNTIFS($AD$2:AD136,"Y",$C$2:C136,"2:00 PM",$E$2:E136,"N",$K$2:K136,"&lt;&gt;Y"),"")</f>
        <v/>
      </c>
      <c r="AN136" s="119">
        <f>IF(AND(AD136="Y",E136="N",K136="Y",OR(C136="12:15 PM",C136="2:00 PM")),SUMPRODUCT(($AD$2:AD136="Y")*($E$2:E136="N")*($K$2:K136="Y")*(($C$2:C136="12:15 PM")+($C$2:C136="2:00 PM"))), "")</f>
        <v/>
      </c>
      <c r="AO136" s="119">
        <f>IF(AND(AD136="Y",C136="12:15 PM",E136="N",L136="Y"),COUNTIFS($AD$2:AD136,"Y",$C$2:C136,"12:15 PM",$E$2:E136,"N",$L$2:L136,"Y"),"")</f>
        <v/>
      </c>
      <c r="AP136" s="119">
        <f>IF(AND(AD136="Y",C136="2:00 PM",E136="N",L136="Y"),COUNTIFS($AD$2:AD136,"Y",$C$2:C136,"2:00 PM",$E$2:E136,"N",$L$2:L136,"Y"),"")</f>
        <v/>
      </c>
    </row>
    <row r="137" ht="14.25" customHeight="1" s="120">
      <c r="A137" s="231" t="inlineStr">
        <is>
          <t>EMP-0143</t>
        </is>
      </c>
      <c r="B137" s="232" t="inlineStr">
        <is>
          <t>Tomekia Bryant</t>
        </is>
      </c>
      <c r="C137" s="232" t="inlineStr">
        <is>
          <t>12:15 PM</t>
        </is>
      </c>
      <c r="D137" s="232" t="inlineStr">
        <is>
          <t>Mon, Tue</t>
        </is>
      </c>
      <c r="E137" s="232" t="inlineStr">
        <is>
          <t>N</t>
        </is>
      </c>
      <c r="F137" s="232" t="inlineStr">
        <is>
          <t>Y</t>
        </is>
      </c>
      <c r="G137" s="232" t="inlineStr">
        <is>
          <t>Y</t>
        </is>
      </c>
      <c r="H137" s="232" t="inlineStr">
        <is>
          <t>None</t>
        </is>
      </c>
      <c r="I137" s="232" t="inlineStr">
        <is>
          <t>Y</t>
        </is>
      </c>
      <c r="J137" s="232" t="inlineStr">
        <is>
          <t>N</t>
        </is>
      </c>
      <c r="K137" s="232" t="inlineStr">
        <is>
          <t>N</t>
        </is>
      </c>
      <c r="L137" s="232" t="inlineStr">
        <is>
          <t>Y</t>
        </is>
      </c>
      <c r="M137" s="232" t="inlineStr">
        <is>
          <t>Standard</t>
        </is>
      </c>
      <c r="N137" s="232" t="n"/>
      <c r="O137" s="232" t="n"/>
      <c r="P137" s="232" t="inlineStr">
        <is>
          <t>N</t>
        </is>
      </c>
      <c r="Q137" s="232" t="n"/>
      <c r="R137" s="232" t="n"/>
      <c r="S137" s="232" t="n"/>
      <c r="T137" s="233" t="inlineStr">
        <is>
          <t>N</t>
        </is>
      </c>
      <c r="U137" s="227">
        <f>IF($B137="","",IF(AND($G137="Y",ISERROR(SEARCH(TEXT('Control Center'!$B$3,"ddd"),TRIM($D137)))),"Y","N"))</f>
        <v/>
      </c>
      <c r="V137" s="227">
        <f>IF($B137="","",IF(AND($U137="Y",OR($C137="3:45 AM",$C137="5:45 AM"),OR('Control Center'!$B$4="N",$K137&lt;&gt;"Y")),"Y","N"))</f>
        <v/>
      </c>
      <c r="W137" s="227">
        <f>IF($B137="","",IF(AND($U137="Y",OR($C137="12:15 PM",$C137="2:00 PM"),OR('Control Center'!$B$5="N",$K137&lt;&gt;"Y")),"Y","N"))</f>
        <v/>
      </c>
      <c r="X137" s="228" t="n"/>
      <c r="Y137" s="229" t="n"/>
      <c r="Z137" s="228" t="n"/>
      <c r="AA137" s="229" t="n"/>
      <c r="AB137" s="230">
        <f>IF($B137="","",IF($P137="Y",IF($Y137="Y","Completed","In Progress"),""))</f>
        <v/>
      </c>
      <c r="AC137" s="119">
        <f>IF($B137="","",IF(COUNTIFS('Approved Absences'!$A$2:$A$200,$B137,'Approved Absences'!$B$2:$B$200,"&lt;="&amp;INT('Control Center'!$B$3),'Approved Absences'!$C$2:$C$200,"&gt;="&amp;INT('Control Center'!$B$3))&gt;0,"Y","N"))</f>
        <v/>
      </c>
      <c r="AD137" s="119">
        <f>IF($B137="","",IF(AND($G137="Y",$AC137&lt;&gt;"Y",ISERROR(SEARCH(TEXT('Control Center'!$B$3,"ddd"),TRIM($D137)))),"Y","N"))</f>
        <v/>
      </c>
      <c r="AE137" s="119">
        <f>IF(AND(AD137="Y",C137="3:45 AM",E137="N",K137&lt;&gt;"Y"),COUNTIFS($AD$2:AD137,"Y",$C$2:C137,"3:45 AM",$E$2:E137,"N",$K$2:K137,"&lt;&gt;Y"),"")</f>
        <v/>
      </c>
      <c r="AF137" s="119">
        <f>IF(AND(AD137="Y",C137="5:45 AM",E137="N",K137&lt;&gt;"Y"),COUNTIFS($AD$2:AD137,"Y",$C$2:C137,"5:45 AM",$E$2:E137,"N",$K$2:K137,"&lt;&gt;Y"),"")</f>
        <v/>
      </c>
      <c r="AG137" s="119">
        <f>IF(AND(AD137="Y",C137="3:45 AM",E137="N",L137="Y",K137&lt;&gt;"Y"),COUNTIFS($AD$2:AD137,"Y",$C$2:C137,"3:45 AM",$E$2:E137,"N",$L$2:L137,"Y",$K$2:K137,"&lt;&gt;Y"),"")</f>
        <v/>
      </c>
      <c r="AH137" s="119">
        <f>IF(AND(AD137="Y",C137="5:45 AM",E137="N",L137="Y",K137&lt;&gt;"Y"),COUNTIFS($AD$2:AD137,"Y",$C$2:C137,"5:45 AM",$E$2:E137,"N",$L$2:L137,"Y",$K$2:K137,"&lt;&gt;Y"),"")</f>
        <v/>
      </c>
      <c r="AI137" s="119">
        <f>IF(AND(AD137="Y",E137="N",K137="Y",OR(C137="3:45 AM",C137="5:45 AM")),SUMPRODUCT(($AD$2:AD137="Y")*($E$2:E137="N")*($K$2:K137="Y")*(($C$2:C137="3:45 AM")+($C$2:C137="5:45 AM"))), "")</f>
        <v/>
      </c>
      <c r="AJ137" s="119">
        <f>IF(AND(AD137="Y",C137="3:45 AM",E137="N",J137="Y"),COUNTIFS($AD$2:AD137,"Y",$C$2:C137,"3:45 AM",$E$2:E137,"N",$J$2:J137,"Y"),"")</f>
        <v/>
      </c>
      <c r="AK137" s="119">
        <f>IF(AND(AD137="Y",E137="N",I137="Y",OR(C137="3:45 AM",C137="5:45 AM")),SUMPRODUCT(($AD$2:AD137="Y")*($E$2:E137="N")*($I$2:I137="Y")*(($C$2:C137="3:45 AM")+($C$2:C137="5:45 AM"))), "")</f>
        <v/>
      </c>
      <c r="AL137" s="119">
        <f>IF(AND(AD137="Y",C137="12:15 PM",E137="N",K137&lt;&gt;"Y"),COUNTIFS($AD$2:AD137,"Y",$C$2:C137,"12:15 PM",$E$2:E137,"N",$K$2:K137,"&lt;&gt;Y"),"")</f>
        <v/>
      </c>
      <c r="AM137" s="119">
        <f>IF(AND(AD137="Y",C137="2:00 PM",E137="N",K137&lt;&gt;"Y"),COUNTIFS($AD$2:AD137,"Y",$C$2:C137,"2:00 PM",$E$2:E137,"N",$K$2:K137,"&lt;&gt;Y"),"")</f>
        <v/>
      </c>
      <c r="AN137" s="119">
        <f>IF(AND(AD137="Y",E137="N",K137="Y",OR(C137="12:15 PM",C137="2:00 PM")),SUMPRODUCT(($AD$2:AD137="Y")*($E$2:E137="N")*($K$2:K137="Y")*(($C$2:C137="12:15 PM")+($C$2:C137="2:00 PM"))), "")</f>
        <v/>
      </c>
      <c r="AO137" s="119">
        <f>IF(AND(AD137="Y",C137="12:15 PM",E137="N",L137="Y"),COUNTIFS($AD$2:AD137,"Y",$C$2:C137,"12:15 PM",$E$2:E137,"N",$L$2:L137,"Y"),"")</f>
        <v/>
      </c>
      <c r="AP137" s="119">
        <f>IF(AND(AD137="Y",C137="2:00 PM",E137="N",L137="Y"),COUNTIFS($AD$2:AD137,"Y",$C$2:C137,"2:00 PM",$E$2:E137,"N",$L$2:L137,"Y"),"")</f>
        <v/>
      </c>
    </row>
    <row r="138" ht="14.25" customHeight="1" s="120">
      <c r="A138" s="231" t="inlineStr">
        <is>
          <t>EMP-0144</t>
        </is>
      </c>
      <c r="B138" s="232" t="inlineStr">
        <is>
          <t>Trecia Willocks</t>
        </is>
      </c>
      <c r="C138" s="232" t="inlineStr">
        <is>
          <t>9:15 PM</t>
        </is>
      </c>
      <c r="D138" s="232" t="inlineStr">
        <is>
          <t>Sun, Mon</t>
        </is>
      </c>
      <c r="E138" s="232" t="inlineStr">
        <is>
          <t>N</t>
        </is>
      </c>
      <c r="F138" s="232" t="inlineStr">
        <is>
          <t>N</t>
        </is>
      </c>
      <c r="G138" s="232" t="inlineStr">
        <is>
          <t>Y</t>
        </is>
      </c>
      <c r="H138" s="232" t="inlineStr">
        <is>
          <t>None</t>
        </is>
      </c>
      <c r="I138" s="232" t="inlineStr">
        <is>
          <t>N</t>
        </is>
      </c>
      <c r="J138" s="232" t="inlineStr">
        <is>
          <t>N</t>
        </is>
      </c>
      <c r="K138" s="232" t="inlineStr">
        <is>
          <t>N</t>
        </is>
      </c>
      <c r="L138" s="232" t="inlineStr">
        <is>
          <t>Y</t>
        </is>
      </c>
      <c r="M138" s="232" t="inlineStr">
        <is>
          <t>Standard</t>
        </is>
      </c>
      <c r="N138" s="232" t="n"/>
      <c r="O138" s="232" t="n"/>
      <c r="P138" s="232" t="inlineStr">
        <is>
          <t>N</t>
        </is>
      </c>
      <c r="Q138" s="232" t="n"/>
      <c r="R138" s="232" t="n"/>
      <c r="S138" s="232" t="n"/>
      <c r="T138" s="233" t="inlineStr">
        <is>
          <t>N</t>
        </is>
      </c>
      <c r="U138" s="227">
        <f>IF($B138="","",IF(AND($G138="Y",ISERROR(SEARCH(TEXT('Control Center'!$B$3,"ddd"),TRIM($D138)))),"Y","N"))</f>
        <v/>
      </c>
      <c r="V138" s="227">
        <f>IF($B138="","",IF(AND($U138="Y",OR($C138="3:45 AM",$C138="5:45 AM"),OR('Control Center'!$B$4="N",$K138&lt;&gt;"Y")),"Y","N"))</f>
        <v/>
      </c>
      <c r="W138" s="227">
        <f>IF($B138="","",IF(AND($U138="Y",OR($C138="12:15 PM",$C138="2:00 PM"),OR('Control Center'!$B$5="N",$K138&lt;&gt;"Y")),"Y","N"))</f>
        <v/>
      </c>
      <c r="X138" s="228" t="n"/>
      <c r="Y138" s="229" t="n"/>
      <c r="Z138" s="228" t="n"/>
      <c r="AA138" s="229" t="n"/>
      <c r="AB138" s="230">
        <f>IF($B138="","",IF($P138="Y",IF($Y138="Y","Completed","In Progress"),""))</f>
        <v/>
      </c>
      <c r="AC138" s="119">
        <f>IF($B138="","",IF(COUNTIFS('Approved Absences'!$A$2:$A$200,$B138,'Approved Absences'!$B$2:$B$200,"&lt;="&amp;INT('Control Center'!$B$3),'Approved Absences'!$C$2:$C$200,"&gt;="&amp;INT('Control Center'!$B$3))&gt;0,"Y","N"))</f>
        <v/>
      </c>
      <c r="AD138" s="119">
        <f>IF($B138="","",IF(AND($G138="Y",$AC138&lt;&gt;"Y",ISERROR(SEARCH(TEXT('Control Center'!$B$3,"ddd"),TRIM($D138)))),"Y","N"))</f>
        <v/>
      </c>
      <c r="AE138" s="119">
        <f>IF(AND(AD138="Y",C138="3:45 AM",E138="N",K138&lt;&gt;"Y"),COUNTIFS($AD$2:AD138,"Y",$C$2:C138,"3:45 AM",$E$2:E138,"N",$K$2:K138,"&lt;&gt;Y"),"")</f>
        <v/>
      </c>
      <c r="AF138" s="119">
        <f>IF(AND(AD138="Y",C138="5:45 AM",E138="N",K138&lt;&gt;"Y"),COUNTIFS($AD$2:AD138,"Y",$C$2:C138,"5:45 AM",$E$2:E138,"N",$K$2:K138,"&lt;&gt;Y"),"")</f>
        <v/>
      </c>
      <c r="AG138" s="119">
        <f>IF(AND(AD138="Y",C138="3:45 AM",E138="N",L138="Y",K138&lt;&gt;"Y"),COUNTIFS($AD$2:AD138,"Y",$C$2:C138,"3:45 AM",$E$2:E138,"N",$L$2:L138,"Y",$K$2:K138,"&lt;&gt;Y"),"")</f>
        <v/>
      </c>
      <c r="AH138" s="119">
        <f>IF(AND(AD138="Y",C138="5:45 AM",E138="N",L138="Y",K138&lt;&gt;"Y"),COUNTIFS($AD$2:AD138,"Y",$C$2:C138,"5:45 AM",$E$2:E138,"N",$L$2:L138,"Y",$K$2:K138,"&lt;&gt;Y"),"")</f>
        <v/>
      </c>
      <c r="AI138" s="119">
        <f>IF(AND(AD138="Y",E138="N",K138="Y",OR(C138="3:45 AM",C138="5:45 AM")),SUMPRODUCT(($AD$2:AD138="Y")*($E$2:E138="N")*($K$2:K138="Y")*(($C$2:C138="3:45 AM")+($C$2:C138="5:45 AM"))), "")</f>
        <v/>
      </c>
      <c r="AJ138" s="119">
        <f>IF(AND(AD138="Y",C138="3:45 AM",E138="N",J138="Y"),COUNTIFS($AD$2:AD138,"Y",$C$2:C138,"3:45 AM",$E$2:E138,"N",$J$2:J138,"Y"),"")</f>
        <v/>
      </c>
      <c r="AK138" s="119">
        <f>IF(AND(AD138="Y",E138="N",I138="Y",OR(C138="3:45 AM",C138="5:45 AM")),SUMPRODUCT(($AD$2:AD138="Y")*($E$2:E138="N")*($I$2:I138="Y")*(($C$2:C138="3:45 AM")+($C$2:C138="5:45 AM"))), "")</f>
        <v/>
      </c>
      <c r="AL138" s="119">
        <f>IF(AND(AD138="Y",C138="12:15 PM",E138="N",K138&lt;&gt;"Y"),COUNTIFS($AD$2:AD138,"Y",$C$2:C138,"12:15 PM",$E$2:E138,"N",$K$2:K138,"&lt;&gt;Y"),"")</f>
        <v/>
      </c>
      <c r="AM138" s="119">
        <f>IF(AND(AD138="Y",C138="2:00 PM",E138="N",K138&lt;&gt;"Y"),COUNTIFS($AD$2:AD138,"Y",$C$2:C138,"2:00 PM",$E$2:E138,"N",$K$2:K138,"&lt;&gt;Y"),"")</f>
        <v/>
      </c>
      <c r="AN138" s="119">
        <f>IF(AND(AD138="Y",E138="N",K138="Y",OR(C138="12:15 PM",C138="2:00 PM")),SUMPRODUCT(($AD$2:AD138="Y")*($E$2:E138="N")*($K$2:K138="Y")*(($C$2:C138="12:15 PM")+($C$2:C138="2:00 PM"))), "")</f>
        <v/>
      </c>
      <c r="AO138" s="119">
        <f>IF(AND(AD138="Y",C138="12:15 PM",E138="N",L138="Y"),COUNTIFS($AD$2:AD138,"Y",$C$2:C138,"12:15 PM",$E$2:E138,"N",$L$2:L138,"Y"),"")</f>
        <v/>
      </c>
      <c r="AP138" s="119">
        <f>IF(AND(AD138="Y",C138="2:00 PM",E138="N",L138="Y"),COUNTIFS($AD$2:AD138,"Y",$C$2:C138,"2:00 PM",$E$2:E138,"N",$L$2:L138,"Y"),"")</f>
        <v/>
      </c>
    </row>
    <row r="139" ht="14.25" customHeight="1" s="120">
      <c r="A139" s="231" t="inlineStr">
        <is>
          <t>EMP-0145</t>
        </is>
      </c>
      <c r="B139" s="232" t="inlineStr">
        <is>
          <t>Troy Titus</t>
        </is>
      </c>
      <c r="C139" s="232" t="inlineStr">
        <is>
          <t>5:45 AM</t>
        </is>
      </c>
      <c r="D139" s="232" t="inlineStr">
        <is>
          <t>Wed, Thu</t>
        </is>
      </c>
      <c r="E139" s="232" t="inlineStr">
        <is>
          <t>Y</t>
        </is>
      </c>
      <c r="F139" s="232" t="inlineStr">
        <is>
          <t>N</t>
        </is>
      </c>
      <c r="G139" s="232" t="inlineStr">
        <is>
          <t>Y</t>
        </is>
      </c>
      <c r="H139" s="232" t="inlineStr">
        <is>
          <t>None</t>
        </is>
      </c>
      <c r="I139" s="232" t="inlineStr">
        <is>
          <t>N</t>
        </is>
      </c>
      <c r="J139" s="232" t="inlineStr">
        <is>
          <t>Y</t>
        </is>
      </c>
      <c r="K139" s="232" t="inlineStr">
        <is>
          <t>N</t>
        </is>
      </c>
      <c r="L139" s="232" t="inlineStr">
        <is>
          <t>Y</t>
        </is>
      </c>
      <c r="M139" s="232" t="inlineStr">
        <is>
          <t>Standard</t>
        </is>
      </c>
      <c r="N139" s="232" t="n"/>
      <c r="O139" s="232" t="n"/>
      <c r="P139" s="232" t="inlineStr">
        <is>
          <t>N</t>
        </is>
      </c>
      <c r="Q139" s="232" t="n"/>
      <c r="R139" s="232" t="n"/>
      <c r="S139" s="232" t="n"/>
      <c r="T139" s="233" t="inlineStr">
        <is>
          <t>N</t>
        </is>
      </c>
      <c r="U139" s="227">
        <f>IF($B139="","",IF(AND($G139="Y",ISERROR(SEARCH(TEXT('Control Center'!$B$3,"ddd"),TRIM($D139)))),"Y","N"))</f>
        <v/>
      </c>
      <c r="V139" s="227">
        <f>IF($B139="","",IF(AND($U139="Y",OR($C139="3:45 AM",$C139="5:45 AM"),OR('Control Center'!$B$4="N",$K139&lt;&gt;"Y")),"Y","N"))</f>
        <v/>
      </c>
      <c r="W139" s="227">
        <f>IF($B139="","",IF(AND($U139="Y",OR($C139="12:15 PM",$C139="2:00 PM"),OR('Control Center'!$B$5="N",$K139&lt;&gt;"Y")),"Y","N"))</f>
        <v/>
      </c>
      <c r="X139" s="228" t="n"/>
      <c r="Y139" s="229" t="n"/>
      <c r="Z139" s="228" t="n"/>
      <c r="AA139" s="229" t="n"/>
      <c r="AB139" s="230">
        <f>IF($B139="","",IF($P139="Y",IF($Y139="Y","Completed","In Progress"),""))</f>
        <v/>
      </c>
      <c r="AC139" s="119">
        <f>IF($B139="","",IF(COUNTIFS('Approved Absences'!$A$2:$A$200,$B139,'Approved Absences'!$B$2:$B$200,"&lt;="&amp;INT('Control Center'!$B$3),'Approved Absences'!$C$2:$C$200,"&gt;="&amp;INT('Control Center'!$B$3))&gt;0,"Y","N"))</f>
        <v/>
      </c>
      <c r="AD139" s="119">
        <f>IF($B139="","",IF(AND($G139="Y",$AC139&lt;&gt;"Y",ISERROR(SEARCH(TEXT('Control Center'!$B$3,"ddd"),TRIM($D139)))),"Y","N"))</f>
        <v/>
      </c>
      <c r="AE139" s="119">
        <f>IF(AND(AD139="Y",C139="3:45 AM",E139="N",K139&lt;&gt;"Y"),COUNTIFS($AD$2:AD139,"Y",$C$2:C139,"3:45 AM",$E$2:E139,"N",$K$2:K139,"&lt;&gt;Y"),"")</f>
        <v/>
      </c>
      <c r="AF139" s="119">
        <f>IF(AND(AD139="Y",C139="5:45 AM",E139="N",K139&lt;&gt;"Y"),COUNTIFS($AD$2:AD139,"Y",$C$2:C139,"5:45 AM",$E$2:E139,"N",$K$2:K139,"&lt;&gt;Y"),"")</f>
        <v/>
      </c>
      <c r="AG139" s="119">
        <f>IF(AND(AD139="Y",C139="3:45 AM",E139="N",L139="Y",K139&lt;&gt;"Y"),COUNTIFS($AD$2:AD139,"Y",$C$2:C139,"3:45 AM",$E$2:E139,"N",$L$2:L139,"Y",$K$2:K139,"&lt;&gt;Y"),"")</f>
        <v/>
      </c>
      <c r="AH139" s="119">
        <f>IF(AND(AD139="Y",C139="5:45 AM",E139="N",L139="Y",K139&lt;&gt;"Y"),COUNTIFS($AD$2:AD139,"Y",$C$2:C139,"5:45 AM",$E$2:E139,"N",$L$2:L139,"Y",$K$2:K139,"&lt;&gt;Y"),"")</f>
        <v/>
      </c>
      <c r="AI139" s="119">
        <f>IF(AND(AD139="Y",E139="N",K139="Y",OR(C139="3:45 AM",C139="5:45 AM")),SUMPRODUCT(($AD$2:AD139="Y")*($E$2:E139="N")*($K$2:K139="Y")*(($C$2:C139="3:45 AM")+($C$2:C139="5:45 AM"))), "")</f>
        <v/>
      </c>
      <c r="AJ139" s="119">
        <f>IF(AND(AD139="Y",C139="3:45 AM",E139="N",J139="Y"),COUNTIFS($AD$2:AD139,"Y",$C$2:C139,"3:45 AM",$E$2:E139,"N",$J$2:J139,"Y"),"")</f>
        <v/>
      </c>
      <c r="AK139" s="119">
        <f>IF(AND(AD139="Y",E139="N",I139="Y",OR(C139="3:45 AM",C139="5:45 AM")),SUMPRODUCT(($AD$2:AD139="Y")*($E$2:E139="N")*($I$2:I139="Y")*(($C$2:C139="3:45 AM")+($C$2:C139="5:45 AM"))), "")</f>
        <v/>
      </c>
      <c r="AL139" s="119">
        <f>IF(AND(AD139="Y",C139="12:15 PM",E139="N",K139&lt;&gt;"Y"),COUNTIFS($AD$2:AD139,"Y",$C$2:C139,"12:15 PM",$E$2:E139,"N",$K$2:K139,"&lt;&gt;Y"),"")</f>
        <v/>
      </c>
      <c r="AM139" s="119">
        <f>IF(AND(AD139="Y",C139="2:00 PM",E139="N",K139&lt;&gt;"Y"),COUNTIFS($AD$2:AD139,"Y",$C$2:C139,"2:00 PM",$E$2:E139,"N",$K$2:K139,"&lt;&gt;Y"),"")</f>
        <v/>
      </c>
      <c r="AN139" s="119">
        <f>IF(AND(AD139="Y",E139="N",K139="Y",OR(C139="12:15 PM",C139="2:00 PM")),SUMPRODUCT(($AD$2:AD139="Y")*($E$2:E139="N")*($K$2:K139="Y")*(($C$2:C139="12:15 PM")+($C$2:C139="2:00 PM"))), "")</f>
        <v/>
      </c>
      <c r="AO139" s="119">
        <f>IF(AND(AD139="Y",C139="12:15 PM",E139="N",L139="Y"),COUNTIFS($AD$2:AD139,"Y",$C$2:C139,"12:15 PM",$E$2:E139,"N",$L$2:L139,"Y"),"")</f>
        <v/>
      </c>
      <c r="AP139" s="119">
        <f>IF(AND(AD139="Y",C139="2:00 PM",E139="N",L139="Y"),COUNTIFS($AD$2:AD139,"Y",$C$2:C139,"2:00 PM",$E$2:E139,"N",$L$2:L139,"Y"),"")</f>
        <v/>
      </c>
    </row>
    <row r="140" ht="14.25" customHeight="1" s="120">
      <c r="A140" s="231" t="inlineStr">
        <is>
          <t>EMP-0146</t>
        </is>
      </c>
      <c r="B140" s="232" t="inlineStr">
        <is>
          <t>Tyana Gutzmore</t>
        </is>
      </c>
      <c r="C140" s="232" t="inlineStr">
        <is>
          <t>5:45 AM</t>
        </is>
      </c>
      <c r="D140" s="232" t="inlineStr">
        <is>
          <t>Thu, Fri</t>
        </is>
      </c>
      <c r="E140" s="232" t="inlineStr">
        <is>
          <t>N</t>
        </is>
      </c>
      <c r="F140" s="232" t="inlineStr">
        <is>
          <t>N</t>
        </is>
      </c>
      <c r="G140" s="232" t="inlineStr">
        <is>
          <t>Y</t>
        </is>
      </c>
      <c r="H140" s="232" t="inlineStr">
        <is>
          <t>None</t>
        </is>
      </c>
      <c r="I140" s="232" t="inlineStr">
        <is>
          <t>N</t>
        </is>
      </c>
      <c r="J140" s="232" t="inlineStr">
        <is>
          <t>N</t>
        </is>
      </c>
      <c r="K140" s="232" t="inlineStr">
        <is>
          <t>N</t>
        </is>
      </c>
      <c r="L140" s="232" t="inlineStr">
        <is>
          <t>Y</t>
        </is>
      </c>
      <c r="M140" s="232" t="inlineStr">
        <is>
          <t>Standard</t>
        </is>
      </c>
      <c r="N140" s="232" t="n"/>
      <c r="O140" s="232" t="n"/>
      <c r="P140" s="232" t="inlineStr">
        <is>
          <t>N</t>
        </is>
      </c>
      <c r="Q140" s="232" t="n"/>
      <c r="R140" s="232" t="n"/>
      <c r="S140" s="232" t="n"/>
      <c r="T140" s="233" t="inlineStr">
        <is>
          <t>N</t>
        </is>
      </c>
      <c r="U140" s="227">
        <f>IF($B140="","",IF(AND($G140="Y",ISERROR(SEARCH(TEXT('Control Center'!$B$3,"ddd"),TRIM($D140)))),"Y","N"))</f>
        <v/>
      </c>
      <c r="V140" s="227">
        <f>IF($B140="","",IF(AND($U140="Y",OR($C140="3:45 AM",$C140="5:45 AM"),OR('Control Center'!$B$4="N",$K140&lt;&gt;"Y")),"Y","N"))</f>
        <v/>
      </c>
      <c r="W140" s="227">
        <f>IF($B140="","",IF(AND($U140="Y",OR($C140="12:15 PM",$C140="2:00 PM"),OR('Control Center'!$B$5="N",$K140&lt;&gt;"Y")),"Y","N"))</f>
        <v/>
      </c>
      <c r="X140" s="228" t="n"/>
      <c r="Y140" s="229" t="n"/>
      <c r="Z140" s="228" t="n"/>
      <c r="AA140" s="229" t="n"/>
      <c r="AB140" s="230">
        <f>IF($B140="","",IF($P140="Y",IF($Y140="Y","Completed","In Progress"),""))</f>
        <v/>
      </c>
      <c r="AC140" s="119">
        <f>IF($B140="","",IF(COUNTIFS('Approved Absences'!$A$2:$A$200,$B140,'Approved Absences'!$B$2:$B$200,"&lt;="&amp;INT('Control Center'!$B$3),'Approved Absences'!$C$2:$C$200,"&gt;="&amp;INT('Control Center'!$B$3))&gt;0,"Y","N"))</f>
        <v/>
      </c>
      <c r="AD140" s="119">
        <f>IF($B140="","",IF(AND($G140="Y",$AC140&lt;&gt;"Y",ISERROR(SEARCH(TEXT('Control Center'!$B$3,"ddd"),TRIM($D140)))),"Y","N"))</f>
        <v/>
      </c>
      <c r="AE140" s="119">
        <f>IF(AND(AD140="Y",C140="3:45 AM",E140="N",K140&lt;&gt;"Y"),COUNTIFS($AD$2:AD140,"Y",$C$2:C140,"3:45 AM",$E$2:E140,"N",$K$2:K140,"&lt;&gt;Y"),"")</f>
        <v/>
      </c>
      <c r="AF140" s="119">
        <f>IF(AND(AD140="Y",C140="5:45 AM",E140="N",K140&lt;&gt;"Y"),COUNTIFS($AD$2:AD140,"Y",$C$2:C140,"5:45 AM",$E$2:E140,"N",$K$2:K140,"&lt;&gt;Y"),"")</f>
        <v/>
      </c>
      <c r="AG140" s="119">
        <f>IF(AND(AD140="Y",C140="3:45 AM",E140="N",L140="Y",K140&lt;&gt;"Y"),COUNTIFS($AD$2:AD140,"Y",$C$2:C140,"3:45 AM",$E$2:E140,"N",$L$2:L140,"Y",$K$2:K140,"&lt;&gt;Y"),"")</f>
        <v/>
      </c>
      <c r="AH140" s="119">
        <f>IF(AND(AD140="Y",C140="5:45 AM",E140="N",L140="Y",K140&lt;&gt;"Y"),COUNTIFS($AD$2:AD140,"Y",$C$2:C140,"5:45 AM",$E$2:E140,"N",$L$2:L140,"Y",$K$2:K140,"&lt;&gt;Y"),"")</f>
        <v/>
      </c>
      <c r="AI140" s="119">
        <f>IF(AND(AD140="Y",E140="N",K140="Y",OR(C140="3:45 AM",C140="5:45 AM")),SUMPRODUCT(($AD$2:AD140="Y")*($E$2:E140="N")*($K$2:K140="Y")*(($C$2:C140="3:45 AM")+($C$2:C140="5:45 AM"))), "")</f>
        <v/>
      </c>
      <c r="AJ140" s="119">
        <f>IF(AND(AD140="Y",C140="3:45 AM",E140="N",J140="Y"),COUNTIFS($AD$2:AD140,"Y",$C$2:C140,"3:45 AM",$E$2:E140,"N",$J$2:J140,"Y"),"")</f>
        <v/>
      </c>
      <c r="AK140" s="119">
        <f>IF(AND(AD140="Y",E140="N",I140="Y",OR(C140="3:45 AM",C140="5:45 AM")),SUMPRODUCT(($AD$2:AD140="Y")*($E$2:E140="N")*($I$2:I140="Y")*(($C$2:C140="3:45 AM")+($C$2:C140="5:45 AM"))), "")</f>
        <v/>
      </c>
      <c r="AL140" s="119">
        <f>IF(AND(AD140="Y",C140="12:15 PM",E140="N",K140&lt;&gt;"Y"),COUNTIFS($AD$2:AD140,"Y",$C$2:C140,"12:15 PM",$E$2:E140,"N",$K$2:K140,"&lt;&gt;Y"),"")</f>
        <v/>
      </c>
      <c r="AM140" s="119">
        <f>IF(AND(AD140="Y",C140="2:00 PM",E140="N",K140&lt;&gt;"Y"),COUNTIFS($AD$2:AD140,"Y",$C$2:C140,"2:00 PM",$E$2:E140,"N",$K$2:K140,"&lt;&gt;Y"),"")</f>
        <v/>
      </c>
      <c r="AN140" s="119">
        <f>IF(AND(AD140="Y",E140="N",K140="Y",OR(C140="12:15 PM",C140="2:00 PM")),SUMPRODUCT(($AD$2:AD140="Y")*($E$2:E140="N")*($K$2:K140="Y")*(($C$2:C140="12:15 PM")+($C$2:C140="2:00 PM"))), "")</f>
        <v/>
      </c>
      <c r="AO140" s="119">
        <f>IF(AND(AD140="Y",C140="12:15 PM",E140="N",L140="Y"),COUNTIFS($AD$2:AD140,"Y",$C$2:C140,"12:15 PM",$E$2:E140,"N",$L$2:L140,"Y"),"")</f>
        <v/>
      </c>
      <c r="AP140" s="119">
        <f>IF(AND(AD140="Y",C140="2:00 PM",E140="N",L140="Y"),COUNTIFS($AD$2:AD140,"Y",$C$2:C140,"2:00 PM",$E$2:E140,"N",$L$2:L140,"Y"),"")</f>
        <v/>
      </c>
    </row>
    <row r="141" ht="14.25" customHeight="1" s="120">
      <c r="A141" s="231" t="inlineStr">
        <is>
          <t>EMP-0147</t>
        </is>
      </c>
      <c r="B141" s="232" t="inlineStr">
        <is>
          <t>Vanessa Cortes</t>
        </is>
      </c>
      <c r="C141" s="232" t="inlineStr">
        <is>
          <t>5:45 AM</t>
        </is>
      </c>
      <c r="D141" s="232" t="inlineStr">
        <is>
          <t>Thu, Fri</t>
        </is>
      </c>
      <c r="E141" s="232" t="inlineStr">
        <is>
          <t>N</t>
        </is>
      </c>
      <c r="F141" s="232" t="inlineStr">
        <is>
          <t>N</t>
        </is>
      </c>
      <c r="G141" s="232" t="inlineStr">
        <is>
          <t>Y</t>
        </is>
      </c>
      <c r="H141" s="232" t="inlineStr">
        <is>
          <t>None</t>
        </is>
      </c>
      <c r="I141" s="232" t="inlineStr">
        <is>
          <t>N</t>
        </is>
      </c>
      <c r="J141" s="232" t="inlineStr">
        <is>
          <t>Y</t>
        </is>
      </c>
      <c r="K141" s="232" t="inlineStr">
        <is>
          <t>N</t>
        </is>
      </c>
      <c r="L141" s="232" t="inlineStr">
        <is>
          <t>Y</t>
        </is>
      </c>
      <c r="M141" s="232" t="inlineStr">
        <is>
          <t>Standard</t>
        </is>
      </c>
      <c r="N141" s="232" t="n"/>
      <c r="O141" s="232" t="n"/>
      <c r="P141" s="232" t="inlineStr">
        <is>
          <t>N</t>
        </is>
      </c>
      <c r="Q141" s="232" t="n"/>
      <c r="R141" s="232" t="n"/>
      <c r="S141" s="232" t="n"/>
      <c r="T141" s="233" t="inlineStr">
        <is>
          <t>N</t>
        </is>
      </c>
      <c r="U141" s="227">
        <f>IF($B141="","",IF(AND($G141="Y",ISERROR(SEARCH(TEXT('Control Center'!$B$3,"ddd"),TRIM($D141)))),"Y","N"))</f>
        <v/>
      </c>
      <c r="V141" s="227">
        <f>IF($B141="","",IF(AND($U141="Y",OR($C141="3:45 AM",$C141="5:45 AM"),OR('Control Center'!$B$4="N",$K141&lt;&gt;"Y")),"Y","N"))</f>
        <v/>
      </c>
      <c r="W141" s="227">
        <f>IF($B141="","",IF(AND($U141="Y",OR($C141="12:15 PM",$C141="2:00 PM"),OR('Control Center'!$B$5="N",$K141&lt;&gt;"Y")),"Y","N"))</f>
        <v/>
      </c>
      <c r="X141" s="228" t="n"/>
      <c r="Y141" s="229" t="n"/>
      <c r="Z141" s="228" t="n"/>
      <c r="AA141" s="229" t="n"/>
      <c r="AB141" s="230">
        <f>IF($B141="","",IF($P141="Y",IF($Y141="Y","Completed","In Progress"),""))</f>
        <v/>
      </c>
      <c r="AC141" s="119">
        <f>IF($B141="","",IF(COUNTIFS('Approved Absences'!$A$2:$A$200,$B141,'Approved Absences'!$B$2:$B$200,"&lt;="&amp;INT('Control Center'!$B$3),'Approved Absences'!$C$2:$C$200,"&gt;="&amp;INT('Control Center'!$B$3))&gt;0,"Y","N"))</f>
        <v/>
      </c>
      <c r="AD141" s="119">
        <f>IF($B141="","",IF(AND($G141="Y",$AC141&lt;&gt;"Y",ISERROR(SEARCH(TEXT('Control Center'!$B$3,"ddd"),TRIM($D141)))),"Y","N"))</f>
        <v/>
      </c>
      <c r="AE141" s="119">
        <f>IF(AND(AD141="Y",C141="3:45 AM",E141="N",K141&lt;&gt;"Y"),COUNTIFS($AD$2:AD141,"Y",$C$2:C141,"3:45 AM",$E$2:E141,"N",$K$2:K141,"&lt;&gt;Y"),"")</f>
        <v/>
      </c>
      <c r="AF141" s="119">
        <f>IF(AND(AD141="Y",C141="5:45 AM",E141="N",K141&lt;&gt;"Y"),COUNTIFS($AD$2:AD141,"Y",$C$2:C141,"5:45 AM",$E$2:E141,"N",$K$2:K141,"&lt;&gt;Y"),"")</f>
        <v/>
      </c>
      <c r="AG141" s="119">
        <f>IF(AND(AD141="Y",C141="3:45 AM",E141="N",L141="Y",K141&lt;&gt;"Y"),COUNTIFS($AD$2:AD141,"Y",$C$2:C141,"3:45 AM",$E$2:E141,"N",$L$2:L141,"Y",$K$2:K141,"&lt;&gt;Y"),"")</f>
        <v/>
      </c>
      <c r="AH141" s="119">
        <f>IF(AND(AD141="Y",C141="5:45 AM",E141="N",L141="Y",K141&lt;&gt;"Y"),COUNTIFS($AD$2:AD141,"Y",$C$2:C141,"5:45 AM",$E$2:E141,"N",$L$2:L141,"Y",$K$2:K141,"&lt;&gt;Y"),"")</f>
        <v/>
      </c>
      <c r="AI141" s="119">
        <f>IF(AND(AD141="Y",E141="N",K141="Y",OR(C141="3:45 AM",C141="5:45 AM")),SUMPRODUCT(($AD$2:AD141="Y")*($E$2:E141="N")*($K$2:K141="Y")*(($C$2:C141="3:45 AM")+($C$2:C141="5:45 AM"))), "")</f>
        <v/>
      </c>
      <c r="AJ141" s="119">
        <f>IF(AND(AD141="Y",C141="3:45 AM",E141="N",J141="Y"),COUNTIFS($AD$2:AD141,"Y",$C$2:C141,"3:45 AM",$E$2:E141,"N",$J$2:J141,"Y"),"")</f>
        <v/>
      </c>
      <c r="AK141" s="119">
        <f>IF(AND(AD141="Y",E141="N",I141="Y",OR(C141="3:45 AM",C141="5:45 AM")),SUMPRODUCT(($AD$2:AD141="Y")*($E$2:E141="N")*($I$2:I141="Y")*(($C$2:C141="3:45 AM")+($C$2:C141="5:45 AM"))), "")</f>
        <v/>
      </c>
      <c r="AL141" s="119">
        <f>IF(AND(AD141="Y",C141="12:15 PM",E141="N",K141&lt;&gt;"Y"),COUNTIFS($AD$2:AD141,"Y",$C$2:C141,"12:15 PM",$E$2:E141,"N",$K$2:K141,"&lt;&gt;Y"),"")</f>
        <v/>
      </c>
      <c r="AM141" s="119">
        <f>IF(AND(AD141="Y",C141="2:00 PM",E141="N",K141&lt;&gt;"Y"),COUNTIFS($AD$2:AD141,"Y",$C$2:C141,"2:00 PM",$E$2:E141,"N",$K$2:K141,"&lt;&gt;Y"),"")</f>
        <v/>
      </c>
      <c r="AN141" s="119">
        <f>IF(AND(AD141="Y",E141="N",K141="Y",OR(C141="12:15 PM",C141="2:00 PM")),SUMPRODUCT(($AD$2:AD141="Y")*($E$2:E141="N")*($K$2:K141="Y")*(($C$2:C141="12:15 PM")+($C$2:C141="2:00 PM"))), "")</f>
        <v/>
      </c>
      <c r="AO141" s="119">
        <f>IF(AND(AD141="Y",C141="12:15 PM",E141="N",L141="Y"),COUNTIFS($AD$2:AD141,"Y",$C$2:C141,"12:15 PM",$E$2:E141,"N",$L$2:L141,"Y"),"")</f>
        <v/>
      </c>
      <c r="AP141" s="119">
        <f>IF(AND(AD141="Y",C141="2:00 PM",E141="N",L141="Y"),COUNTIFS($AD$2:AD141,"Y",$C$2:C141,"2:00 PM",$E$2:E141,"N",$L$2:L141,"Y"),"")</f>
        <v/>
      </c>
    </row>
    <row r="142" ht="14.25" customHeight="1" s="120">
      <c r="A142" s="231" t="inlineStr">
        <is>
          <t>EMP-0148</t>
        </is>
      </c>
      <c r="B142" s="232" t="inlineStr">
        <is>
          <t>Vanessa Forrest</t>
        </is>
      </c>
      <c r="C142" s="232" t="inlineStr">
        <is>
          <t>2:00 PM</t>
        </is>
      </c>
      <c r="D142" s="232" t="inlineStr">
        <is>
          <t>Sun, Mon</t>
        </is>
      </c>
      <c r="E142" s="232" t="inlineStr">
        <is>
          <t>N</t>
        </is>
      </c>
      <c r="F142" s="232" t="inlineStr">
        <is>
          <t>N</t>
        </is>
      </c>
      <c r="G142" s="232" t="inlineStr">
        <is>
          <t>Y</t>
        </is>
      </c>
      <c r="H142" s="232" t="inlineStr">
        <is>
          <t>None</t>
        </is>
      </c>
      <c r="I142" s="232" t="inlineStr">
        <is>
          <t>Y</t>
        </is>
      </c>
      <c r="J142" s="232" t="inlineStr">
        <is>
          <t>N</t>
        </is>
      </c>
      <c r="K142" s="232" t="inlineStr">
        <is>
          <t>N</t>
        </is>
      </c>
      <c r="L142" s="232" t="inlineStr">
        <is>
          <t>Y</t>
        </is>
      </c>
      <c r="M142" s="232" t="inlineStr">
        <is>
          <t>Standard</t>
        </is>
      </c>
      <c r="N142" s="232" t="n"/>
      <c r="O142" s="232" t="n"/>
      <c r="P142" s="232" t="inlineStr">
        <is>
          <t>N</t>
        </is>
      </c>
      <c r="Q142" s="232" t="n"/>
      <c r="R142" s="232" t="n"/>
      <c r="S142" s="232" t="n"/>
      <c r="T142" s="233" t="inlineStr">
        <is>
          <t>N</t>
        </is>
      </c>
      <c r="U142" s="227">
        <f>IF($B142="","",IF(AND($G142="Y",ISERROR(SEARCH(TEXT('Control Center'!$B$3,"ddd"),TRIM($D142)))),"Y","N"))</f>
        <v/>
      </c>
      <c r="V142" s="227">
        <f>IF($B142="","",IF(AND($U142="Y",OR($C142="3:45 AM",$C142="5:45 AM"),OR('Control Center'!$B$4="N",$K142&lt;&gt;"Y")),"Y","N"))</f>
        <v/>
      </c>
      <c r="W142" s="227">
        <f>IF($B142="","",IF(AND($U142="Y",OR($C142="12:15 PM",$C142="2:00 PM"),OR('Control Center'!$B$5="N",$K142&lt;&gt;"Y")),"Y","N"))</f>
        <v/>
      </c>
      <c r="X142" s="228" t="n"/>
      <c r="Y142" s="229" t="n"/>
      <c r="Z142" s="228" t="n"/>
      <c r="AA142" s="229" t="n"/>
      <c r="AB142" s="230">
        <f>IF($B142="","",IF($P142="Y",IF($Y142="Y","Completed","In Progress"),""))</f>
        <v/>
      </c>
      <c r="AC142" s="119">
        <f>IF($B142="","",IF(COUNTIFS('Approved Absences'!$A$2:$A$200,$B142,'Approved Absences'!$B$2:$B$200,"&lt;="&amp;INT('Control Center'!$B$3),'Approved Absences'!$C$2:$C$200,"&gt;="&amp;INT('Control Center'!$B$3))&gt;0,"Y","N"))</f>
        <v/>
      </c>
      <c r="AD142" s="119">
        <f>IF($B142="","",IF(AND($G142="Y",$AC142&lt;&gt;"Y",ISERROR(SEARCH(TEXT('Control Center'!$B$3,"ddd"),TRIM($D142)))),"Y","N"))</f>
        <v/>
      </c>
      <c r="AE142" s="119">
        <f>IF(AND(AD142="Y",C142="3:45 AM",E142="N",K142&lt;&gt;"Y"),COUNTIFS($AD$2:AD142,"Y",$C$2:C142,"3:45 AM",$E$2:E142,"N",$K$2:K142,"&lt;&gt;Y"),"")</f>
        <v/>
      </c>
      <c r="AF142" s="119">
        <f>IF(AND(AD142="Y",C142="5:45 AM",E142="N",K142&lt;&gt;"Y"),COUNTIFS($AD$2:AD142,"Y",$C$2:C142,"5:45 AM",$E$2:E142,"N",$K$2:K142,"&lt;&gt;Y"),"")</f>
        <v/>
      </c>
      <c r="AG142" s="119">
        <f>IF(AND(AD142="Y",C142="3:45 AM",E142="N",L142="Y",K142&lt;&gt;"Y"),COUNTIFS($AD$2:AD142,"Y",$C$2:C142,"3:45 AM",$E$2:E142,"N",$L$2:L142,"Y",$K$2:K142,"&lt;&gt;Y"),"")</f>
        <v/>
      </c>
      <c r="AH142" s="119">
        <f>IF(AND(AD142="Y",C142="5:45 AM",E142="N",L142="Y",K142&lt;&gt;"Y"),COUNTIFS($AD$2:AD142,"Y",$C$2:C142,"5:45 AM",$E$2:E142,"N",$L$2:L142,"Y",$K$2:K142,"&lt;&gt;Y"),"")</f>
        <v/>
      </c>
      <c r="AI142" s="119">
        <f>IF(AND(AD142="Y",E142="N",K142="Y",OR(C142="3:45 AM",C142="5:45 AM")),SUMPRODUCT(($AD$2:AD142="Y")*($E$2:E142="N")*($K$2:K142="Y")*(($C$2:C142="3:45 AM")+($C$2:C142="5:45 AM"))), "")</f>
        <v/>
      </c>
      <c r="AJ142" s="119">
        <f>IF(AND(AD142="Y",C142="3:45 AM",E142="N",J142="Y"),COUNTIFS($AD$2:AD142,"Y",$C$2:C142,"3:45 AM",$E$2:E142,"N",$J$2:J142,"Y"),"")</f>
        <v/>
      </c>
      <c r="AK142" s="119">
        <f>IF(AND(AD142="Y",E142="N",I142="Y",OR(C142="3:45 AM",C142="5:45 AM")),SUMPRODUCT(($AD$2:AD142="Y")*($E$2:E142="N")*($I$2:I142="Y")*(($C$2:C142="3:45 AM")+($C$2:C142="5:45 AM"))), "")</f>
        <v/>
      </c>
      <c r="AL142" s="119">
        <f>IF(AND(AD142="Y",C142="12:15 PM",E142="N",K142&lt;&gt;"Y"),COUNTIFS($AD$2:AD142,"Y",$C$2:C142,"12:15 PM",$E$2:E142,"N",$K$2:K142,"&lt;&gt;Y"),"")</f>
        <v/>
      </c>
      <c r="AM142" s="119">
        <f>IF(AND(AD142="Y",C142="2:00 PM",E142="N",K142&lt;&gt;"Y"),COUNTIFS($AD$2:AD142,"Y",$C$2:C142,"2:00 PM",$E$2:E142,"N",$K$2:K142,"&lt;&gt;Y"),"")</f>
        <v/>
      </c>
      <c r="AN142" s="119">
        <f>IF(AND(AD142="Y",E142="N",K142="Y",OR(C142="12:15 PM",C142="2:00 PM")),SUMPRODUCT(($AD$2:AD142="Y")*($E$2:E142="N")*($K$2:K142="Y")*(($C$2:C142="12:15 PM")+($C$2:C142="2:00 PM"))), "")</f>
        <v/>
      </c>
      <c r="AO142" s="119">
        <f>IF(AND(AD142="Y",C142="12:15 PM",E142="N",L142="Y"),COUNTIFS($AD$2:AD142,"Y",$C$2:C142,"12:15 PM",$E$2:E142,"N",$L$2:L142,"Y"),"")</f>
        <v/>
      </c>
      <c r="AP142" s="119">
        <f>IF(AND(AD142="Y",C142="2:00 PM",E142="N",L142="Y"),COUNTIFS($AD$2:AD142,"Y",$C$2:C142,"2:00 PM",$E$2:E142,"N",$L$2:L142,"Y"),"")</f>
        <v/>
      </c>
    </row>
    <row r="143" ht="14.25" customHeight="1" s="120">
      <c r="A143" s="231" t="inlineStr">
        <is>
          <t>EMP-0149</t>
        </is>
      </c>
      <c r="B143" s="232" t="inlineStr">
        <is>
          <t>Veronda Jones</t>
        </is>
      </c>
      <c r="C143" s="232" t="inlineStr">
        <is>
          <t>5:45 AM</t>
        </is>
      </c>
      <c r="D143" s="232" t="inlineStr">
        <is>
          <t>Sat, Sun</t>
        </is>
      </c>
      <c r="E143" s="232" t="inlineStr">
        <is>
          <t>N</t>
        </is>
      </c>
      <c r="F143" s="232" t="inlineStr">
        <is>
          <t>N</t>
        </is>
      </c>
      <c r="G143" s="232" t="inlineStr">
        <is>
          <t>Y</t>
        </is>
      </c>
      <c r="H143" s="232" t="inlineStr">
        <is>
          <t>None</t>
        </is>
      </c>
      <c r="I143" s="232" t="inlineStr">
        <is>
          <t>N</t>
        </is>
      </c>
      <c r="J143" s="232" t="inlineStr">
        <is>
          <t>N</t>
        </is>
      </c>
      <c r="K143" s="232" t="inlineStr">
        <is>
          <t>N</t>
        </is>
      </c>
      <c r="L143" s="232" t="inlineStr">
        <is>
          <t>N</t>
        </is>
      </c>
      <c r="M143" s="232" t="inlineStr">
        <is>
          <t>Standard</t>
        </is>
      </c>
      <c r="N143" s="232" t="n"/>
      <c r="O143" s="232" t="n"/>
      <c r="P143" s="232" t="inlineStr">
        <is>
          <t>N</t>
        </is>
      </c>
      <c r="Q143" s="232" t="n"/>
      <c r="R143" s="232" t="n"/>
      <c r="S143" s="232" t="n"/>
      <c r="T143" s="233" t="inlineStr">
        <is>
          <t>N</t>
        </is>
      </c>
      <c r="U143" s="227">
        <f>IF($B143="","",IF(AND($G143="Y",ISERROR(SEARCH(TEXT('Control Center'!$B$3,"ddd"),TRIM($D143)))),"Y","N"))</f>
        <v/>
      </c>
      <c r="V143" s="227">
        <f>IF($B143="","",IF(AND($U143="Y",OR($C143="3:45 AM",$C143="5:45 AM"),OR('Control Center'!$B$4="N",$K143&lt;&gt;"Y")),"Y","N"))</f>
        <v/>
      </c>
      <c r="W143" s="227">
        <f>IF($B143="","",IF(AND($U143="Y",OR($C143="12:15 PM",$C143="2:00 PM"),OR('Control Center'!$B$5="N",$K143&lt;&gt;"Y")),"Y","N"))</f>
        <v/>
      </c>
      <c r="X143" s="228" t="n"/>
      <c r="Y143" s="229" t="n"/>
      <c r="Z143" s="228" t="n"/>
      <c r="AA143" s="229" t="n"/>
      <c r="AB143" s="230">
        <f>IF($B143="","",IF($P143="Y",IF($Y143="Y","Completed","In Progress"),""))</f>
        <v/>
      </c>
      <c r="AC143" s="119">
        <f>IF($B143="","",IF(COUNTIFS('Approved Absences'!$A$2:$A$200,$B143,'Approved Absences'!$B$2:$B$200,"&lt;="&amp;INT('Control Center'!$B$3),'Approved Absences'!$C$2:$C$200,"&gt;="&amp;INT('Control Center'!$B$3))&gt;0,"Y","N"))</f>
        <v/>
      </c>
      <c r="AD143" s="119">
        <f>IF($B143="","",IF(AND($G143="Y",$AC143&lt;&gt;"Y",ISERROR(SEARCH(TEXT('Control Center'!$B$3,"ddd"),TRIM($D143)))),"Y","N"))</f>
        <v/>
      </c>
      <c r="AE143" s="119">
        <f>IF(AND(AD143="Y",C143="3:45 AM",E143="N",K143&lt;&gt;"Y"),COUNTIFS($AD$2:AD143,"Y",$C$2:C143,"3:45 AM",$E$2:E143,"N",$K$2:K143,"&lt;&gt;Y"),"")</f>
        <v/>
      </c>
      <c r="AF143" s="119">
        <f>IF(AND(AD143="Y",C143="5:45 AM",E143="N",K143&lt;&gt;"Y"),COUNTIFS($AD$2:AD143,"Y",$C$2:C143,"5:45 AM",$E$2:E143,"N",$K$2:K143,"&lt;&gt;Y"),"")</f>
        <v/>
      </c>
      <c r="AG143" s="119">
        <f>IF(AND(AD143="Y",C143="3:45 AM",E143="N",L143="Y",K143&lt;&gt;"Y"),COUNTIFS($AD$2:AD143,"Y",$C$2:C143,"3:45 AM",$E$2:E143,"N",$L$2:L143,"Y",$K$2:K143,"&lt;&gt;Y"),"")</f>
        <v/>
      </c>
      <c r="AH143" s="119">
        <f>IF(AND(AD143="Y",C143="5:45 AM",E143="N",L143="Y",K143&lt;&gt;"Y"),COUNTIFS($AD$2:AD143,"Y",$C$2:C143,"5:45 AM",$E$2:E143,"N",$L$2:L143,"Y",$K$2:K143,"&lt;&gt;Y"),"")</f>
        <v/>
      </c>
      <c r="AI143" s="119">
        <f>IF(AND(AD143="Y",E143="N",K143="Y",OR(C143="3:45 AM",C143="5:45 AM")),SUMPRODUCT(($AD$2:AD143="Y")*($E$2:E143="N")*($K$2:K143="Y")*(($C$2:C143="3:45 AM")+($C$2:C143="5:45 AM"))), "")</f>
        <v/>
      </c>
      <c r="AJ143" s="119">
        <f>IF(AND(AD143="Y",C143="3:45 AM",E143="N",J143="Y"),COUNTIFS($AD$2:AD143,"Y",$C$2:C143,"3:45 AM",$E$2:E143,"N",$J$2:J143,"Y"),"")</f>
        <v/>
      </c>
      <c r="AK143" s="119">
        <f>IF(AND(AD143="Y",E143="N",I143="Y",OR(C143="3:45 AM",C143="5:45 AM")),SUMPRODUCT(($AD$2:AD143="Y")*($E$2:E143="N")*($I$2:I143="Y")*(($C$2:C143="3:45 AM")+($C$2:C143="5:45 AM"))), "")</f>
        <v/>
      </c>
      <c r="AL143" s="119">
        <f>IF(AND(AD143="Y",C143="12:15 PM",E143="N",K143&lt;&gt;"Y"),COUNTIFS($AD$2:AD143,"Y",$C$2:C143,"12:15 PM",$E$2:E143,"N",$K$2:K143,"&lt;&gt;Y"),"")</f>
        <v/>
      </c>
      <c r="AM143" s="119">
        <f>IF(AND(AD143="Y",C143="2:00 PM",E143="N",K143&lt;&gt;"Y"),COUNTIFS($AD$2:AD143,"Y",$C$2:C143,"2:00 PM",$E$2:E143,"N",$K$2:K143,"&lt;&gt;Y"),"")</f>
        <v/>
      </c>
      <c r="AN143" s="119">
        <f>IF(AND(AD143="Y",E143="N",K143="Y",OR(C143="12:15 PM",C143="2:00 PM")),SUMPRODUCT(($AD$2:AD143="Y")*($E$2:E143="N")*($K$2:K143="Y")*(($C$2:C143="12:15 PM")+($C$2:C143="2:00 PM"))), "")</f>
        <v/>
      </c>
      <c r="AO143" s="119">
        <f>IF(AND(AD143="Y",C143="12:15 PM",E143="N",L143="Y"),COUNTIFS($AD$2:AD143,"Y",$C$2:C143,"12:15 PM",$E$2:E143,"N",$L$2:L143,"Y"),"")</f>
        <v/>
      </c>
      <c r="AP143" s="119">
        <f>IF(AND(AD143="Y",C143="2:00 PM",E143="N",L143="Y"),COUNTIFS($AD$2:AD143,"Y",$C$2:C143,"2:00 PM",$E$2:E143,"N",$L$2:L143,"Y"),"")</f>
        <v/>
      </c>
    </row>
    <row r="144" ht="14.25" customHeight="1" s="120">
      <c r="A144" s="231" t="inlineStr">
        <is>
          <t>EMP-0150</t>
        </is>
      </c>
      <c r="B144" s="232" t="inlineStr">
        <is>
          <t>Veronica Laster</t>
        </is>
      </c>
      <c r="C144" s="232" t="inlineStr">
        <is>
          <t>12:15 PM</t>
        </is>
      </c>
      <c r="D144" s="232" t="inlineStr">
        <is>
          <t>Sat, Sun</t>
        </is>
      </c>
      <c r="E144" s="232" t="inlineStr">
        <is>
          <t>N</t>
        </is>
      </c>
      <c r="F144" s="232" t="inlineStr">
        <is>
          <t>N</t>
        </is>
      </c>
      <c r="G144" s="232" t="inlineStr">
        <is>
          <t>Y</t>
        </is>
      </c>
      <c r="H144" s="232" t="inlineStr">
        <is>
          <t>3:00 PM</t>
        </is>
      </c>
      <c r="I144" s="232" t="inlineStr">
        <is>
          <t>Y</t>
        </is>
      </c>
      <c r="J144" s="232" t="inlineStr">
        <is>
          <t>N</t>
        </is>
      </c>
      <c r="K144" s="232" t="inlineStr">
        <is>
          <t>N</t>
        </is>
      </c>
      <c r="L144" s="232" t="inlineStr">
        <is>
          <t>Y</t>
        </is>
      </c>
      <c r="M144" s="232" t="inlineStr">
        <is>
          <t>Standard</t>
        </is>
      </c>
      <c r="N144" s="232" t="n"/>
      <c r="O144" s="232" t="n"/>
      <c r="P144" s="232" t="inlineStr">
        <is>
          <t>N</t>
        </is>
      </c>
      <c r="Q144" s="232" t="n"/>
      <c r="R144" s="232" t="n"/>
      <c r="S144" s="232" t="n"/>
      <c r="T144" s="233" t="inlineStr">
        <is>
          <t>N</t>
        </is>
      </c>
      <c r="U144" s="227">
        <f>IF($B144="","",IF(AND($G144="Y",ISERROR(SEARCH(TEXT('Control Center'!$B$3,"ddd"),TRIM($D144)))),"Y","N"))</f>
        <v/>
      </c>
      <c r="V144" s="227">
        <f>IF($B144="","",IF(AND($U144="Y",OR($C144="3:45 AM",$C144="5:45 AM"),OR('Control Center'!$B$4="N",$K144&lt;&gt;"Y")),"Y","N"))</f>
        <v/>
      </c>
      <c r="W144" s="227">
        <f>IF($B144="","",IF(AND($U144="Y",OR($C144="12:15 PM",$C144="2:00 PM"),OR('Control Center'!$B$5="N",$K144&lt;&gt;"Y")),"Y","N"))</f>
        <v/>
      </c>
      <c r="X144" s="228" t="n"/>
      <c r="Y144" s="229" t="n"/>
      <c r="Z144" s="228" t="n"/>
      <c r="AA144" s="229" t="n"/>
      <c r="AB144" s="230">
        <f>IF($B144="","",IF($P144="Y",IF($Y144="Y","Completed","In Progress"),""))</f>
        <v/>
      </c>
      <c r="AC144" s="119">
        <f>IF($B144="","",IF(COUNTIFS('Approved Absences'!$A$2:$A$200,$B144,'Approved Absences'!$B$2:$B$200,"&lt;="&amp;INT('Control Center'!$B$3),'Approved Absences'!$C$2:$C$200,"&gt;="&amp;INT('Control Center'!$B$3))&gt;0,"Y","N"))</f>
        <v/>
      </c>
      <c r="AD144" s="119">
        <f>IF($B144="","",IF(AND($G144="Y",$AC144&lt;&gt;"Y",ISERROR(SEARCH(TEXT('Control Center'!$B$3,"ddd"),TRIM($D144)))),"Y","N"))</f>
        <v/>
      </c>
      <c r="AE144" s="119">
        <f>IF(AND(AD144="Y",C144="3:45 AM",E144="N",K144&lt;&gt;"Y"),COUNTIFS($AD$2:AD144,"Y",$C$2:C144,"3:45 AM",$E$2:E144,"N",$K$2:K144,"&lt;&gt;Y"),"")</f>
        <v/>
      </c>
      <c r="AF144" s="119">
        <f>IF(AND(AD144="Y",C144="5:45 AM",E144="N",K144&lt;&gt;"Y"),COUNTIFS($AD$2:AD144,"Y",$C$2:C144,"5:45 AM",$E$2:E144,"N",$K$2:K144,"&lt;&gt;Y"),"")</f>
        <v/>
      </c>
      <c r="AG144" s="119">
        <f>IF(AND(AD144="Y",C144="3:45 AM",E144="N",L144="Y",K144&lt;&gt;"Y"),COUNTIFS($AD$2:AD144,"Y",$C$2:C144,"3:45 AM",$E$2:E144,"N",$L$2:L144,"Y",$K$2:K144,"&lt;&gt;Y"),"")</f>
        <v/>
      </c>
      <c r="AH144" s="119">
        <f>IF(AND(AD144="Y",C144="5:45 AM",E144="N",L144="Y",K144&lt;&gt;"Y"),COUNTIFS($AD$2:AD144,"Y",$C$2:C144,"5:45 AM",$E$2:E144,"N",$L$2:L144,"Y",$K$2:K144,"&lt;&gt;Y"),"")</f>
        <v/>
      </c>
      <c r="AI144" s="119">
        <f>IF(AND(AD144="Y",E144="N",K144="Y",OR(C144="3:45 AM",C144="5:45 AM")),SUMPRODUCT(($AD$2:AD144="Y")*($E$2:E144="N")*($K$2:K144="Y")*(($C$2:C144="3:45 AM")+($C$2:C144="5:45 AM"))), "")</f>
        <v/>
      </c>
      <c r="AJ144" s="119">
        <f>IF(AND(AD144="Y",C144="3:45 AM",E144="N",J144="Y"),COUNTIFS($AD$2:AD144,"Y",$C$2:C144,"3:45 AM",$E$2:E144,"N",$J$2:J144,"Y"),"")</f>
        <v/>
      </c>
      <c r="AK144" s="119">
        <f>IF(AND(AD144="Y",E144="N",I144="Y",OR(C144="3:45 AM",C144="5:45 AM")),SUMPRODUCT(($AD$2:AD144="Y")*($E$2:E144="N")*($I$2:I144="Y")*(($C$2:C144="3:45 AM")+($C$2:C144="5:45 AM"))), "")</f>
        <v/>
      </c>
      <c r="AL144" s="119">
        <f>IF(AND(AD144="Y",C144="12:15 PM",E144="N",K144&lt;&gt;"Y"),COUNTIFS($AD$2:AD144,"Y",$C$2:C144,"12:15 PM",$E$2:E144,"N",$K$2:K144,"&lt;&gt;Y"),"")</f>
        <v/>
      </c>
      <c r="AM144" s="119">
        <f>IF(AND(AD144="Y",C144="2:00 PM",E144="N",K144&lt;&gt;"Y"),COUNTIFS($AD$2:AD144,"Y",$C$2:C144,"2:00 PM",$E$2:E144,"N",$K$2:K144,"&lt;&gt;Y"),"")</f>
        <v/>
      </c>
      <c r="AN144" s="119">
        <f>IF(AND(AD144="Y",E144="N",K144="Y",OR(C144="12:15 PM",C144="2:00 PM")),SUMPRODUCT(($AD$2:AD144="Y")*($E$2:E144="N")*($K$2:K144="Y")*(($C$2:C144="12:15 PM")+($C$2:C144="2:00 PM"))), "")</f>
        <v/>
      </c>
      <c r="AO144" s="119">
        <f>IF(AND(AD144="Y",C144="12:15 PM",E144="N",L144="Y"),COUNTIFS($AD$2:AD144,"Y",$C$2:C144,"12:15 PM",$E$2:E144,"N",$L$2:L144,"Y"),"")</f>
        <v/>
      </c>
      <c r="AP144" s="119">
        <f>IF(AND(AD144="Y",C144="2:00 PM",E144="N",L144="Y"),COUNTIFS($AD$2:AD144,"Y",$C$2:C144,"2:00 PM",$E$2:E144,"N",$L$2:L144,"Y"),"")</f>
        <v/>
      </c>
    </row>
    <row r="145" ht="14.25" customHeight="1" s="120">
      <c r="A145" s="231" t="inlineStr">
        <is>
          <t>EMP-0151</t>
        </is>
      </c>
      <c r="B145" s="232" t="inlineStr">
        <is>
          <t>Vinnie Petrov</t>
        </is>
      </c>
      <c r="C145" s="232" t="inlineStr">
        <is>
          <t>2:00 PM</t>
        </is>
      </c>
      <c r="D145" s="232" t="inlineStr">
        <is>
          <t>Thu, Fri</t>
        </is>
      </c>
      <c r="E145" s="232" t="inlineStr">
        <is>
          <t>Y</t>
        </is>
      </c>
      <c r="F145" s="232" t="inlineStr">
        <is>
          <t>N</t>
        </is>
      </c>
      <c r="G145" s="232" t="inlineStr">
        <is>
          <t>Y</t>
        </is>
      </c>
      <c r="H145" s="232" t="inlineStr">
        <is>
          <t>None</t>
        </is>
      </c>
      <c r="I145" s="232" t="inlineStr">
        <is>
          <t>N</t>
        </is>
      </c>
      <c r="J145" s="232" t="inlineStr">
        <is>
          <t>Y</t>
        </is>
      </c>
      <c r="K145" s="232" t="inlineStr">
        <is>
          <t>N</t>
        </is>
      </c>
      <c r="L145" s="232" t="inlineStr">
        <is>
          <t>Y</t>
        </is>
      </c>
      <c r="M145" s="232" t="inlineStr">
        <is>
          <t>Standard</t>
        </is>
      </c>
      <c r="N145" s="232" t="n"/>
      <c r="O145" s="232" t="n"/>
      <c r="P145" s="232" t="inlineStr">
        <is>
          <t>N</t>
        </is>
      </c>
      <c r="Q145" s="232" t="n"/>
      <c r="R145" s="232" t="n"/>
      <c r="S145" s="232" t="n"/>
      <c r="T145" s="233" t="inlineStr">
        <is>
          <t>N</t>
        </is>
      </c>
      <c r="U145" s="227">
        <f>IF($B145="","",IF(AND($G145="Y",ISERROR(SEARCH(TEXT('Control Center'!$B$3,"ddd"),TRIM($D145)))),"Y","N"))</f>
        <v/>
      </c>
      <c r="V145" s="227">
        <f>IF($B145="","",IF(AND($U145="Y",OR($C145="3:45 AM",$C145="5:45 AM"),OR('Control Center'!$B$4="N",$K145&lt;&gt;"Y")),"Y","N"))</f>
        <v/>
      </c>
      <c r="W145" s="227">
        <f>IF($B145="","",IF(AND($U145="Y",OR($C145="12:15 PM",$C145="2:00 PM"),OR('Control Center'!$B$5="N",$K145&lt;&gt;"Y")),"Y","N"))</f>
        <v/>
      </c>
      <c r="X145" s="228" t="n"/>
      <c r="Y145" s="229" t="n"/>
      <c r="Z145" s="228" t="n"/>
      <c r="AA145" s="229" t="n"/>
      <c r="AB145" s="230">
        <f>IF($B145="","",IF($P145="Y",IF($Y145="Y","Completed","In Progress"),""))</f>
        <v/>
      </c>
      <c r="AC145" s="119">
        <f>IF($B145="","",IF(COUNTIFS('Approved Absences'!$A$2:$A$200,$B145,'Approved Absences'!$B$2:$B$200,"&lt;="&amp;INT('Control Center'!$B$3),'Approved Absences'!$C$2:$C$200,"&gt;="&amp;INT('Control Center'!$B$3))&gt;0,"Y","N"))</f>
        <v/>
      </c>
      <c r="AD145" s="119">
        <f>IF($B145="","",IF(AND($G145="Y",$AC145&lt;&gt;"Y",ISERROR(SEARCH(TEXT('Control Center'!$B$3,"ddd"),TRIM($D145)))),"Y","N"))</f>
        <v/>
      </c>
      <c r="AE145" s="119">
        <f>IF(AND(AD145="Y",C145="3:45 AM",E145="N",K145&lt;&gt;"Y"),COUNTIFS($AD$2:AD145,"Y",$C$2:C145,"3:45 AM",$E$2:E145,"N",$K$2:K145,"&lt;&gt;Y"),"")</f>
        <v/>
      </c>
      <c r="AF145" s="119">
        <f>IF(AND(AD145="Y",C145="5:45 AM",E145="N",K145&lt;&gt;"Y"),COUNTIFS($AD$2:AD145,"Y",$C$2:C145,"5:45 AM",$E$2:E145,"N",$K$2:K145,"&lt;&gt;Y"),"")</f>
        <v/>
      </c>
      <c r="AG145" s="119">
        <f>IF(AND(AD145="Y",C145="3:45 AM",E145="N",L145="Y",K145&lt;&gt;"Y"),COUNTIFS($AD$2:AD145,"Y",$C$2:C145,"3:45 AM",$E$2:E145,"N",$L$2:L145,"Y",$K$2:K145,"&lt;&gt;Y"),"")</f>
        <v/>
      </c>
      <c r="AH145" s="119">
        <f>IF(AND(AD145="Y",C145="5:45 AM",E145="N",L145="Y",K145&lt;&gt;"Y"),COUNTIFS($AD$2:AD145,"Y",$C$2:C145,"5:45 AM",$E$2:E145,"N",$L$2:L145,"Y",$K$2:K145,"&lt;&gt;Y"),"")</f>
        <v/>
      </c>
      <c r="AI145" s="119">
        <f>IF(AND(AD145="Y",E145="N",K145="Y",OR(C145="3:45 AM",C145="5:45 AM")),SUMPRODUCT(($AD$2:AD145="Y")*($E$2:E145="N")*($K$2:K145="Y")*(($C$2:C145="3:45 AM")+($C$2:C145="5:45 AM"))), "")</f>
        <v/>
      </c>
      <c r="AJ145" s="119">
        <f>IF(AND(AD145="Y",C145="3:45 AM",E145="N",J145="Y"),COUNTIFS($AD$2:AD145,"Y",$C$2:C145,"3:45 AM",$E$2:E145,"N",$J$2:J145,"Y"),"")</f>
        <v/>
      </c>
      <c r="AK145" s="119">
        <f>IF(AND(AD145="Y",E145="N",I145="Y",OR(C145="3:45 AM",C145="5:45 AM")),SUMPRODUCT(($AD$2:AD145="Y")*($E$2:E145="N")*($I$2:I145="Y")*(($C$2:C145="3:45 AM")+($C$2:C145="5:45 AM"))), "")</f>
        <v/>
      </c>
      <c r="AL145" s="119">
        <f>IF(AND(AD145="Y",C145="12:15 PM",E145="N",K145&lt;&gt;"Y"),COUNTIFS($AD$2:AD145,"Y",$C$2:C145,"12:15 PM",$E$2:E145,"N",$K$2:K145,"&lt;&gt;Y"),"")</f>
        <v/>
      </c>
      <c r="AM145" s="119">
        <f>IF(AND(AD145="Y",C145="2:00 PM",E145="N",K145&lt;&gt;"Y"),COUNTIFS($AD$2:AD145,"Y",$C$2:C145,"2:00 PM",$E$2:E145,"N",$K$2:K145,"&lt;&gt;Y"),"")</f>
        <v/>
      </c>
      <c r="AN145" s="119">
        <f>IF(AND(AD145="Y",E145="N",K145="Y",OR(C145="12:15 PM",C145="2:00 PM")),SUMPRODUCT(($AD$2:AD145="Y")*($E$2:E145="N")*($K$2:K145="Y")*(($C$2:C145="12:15 PM")+($C$2:C145="2:00 PM"))), "")</f>
        <v/>
      </c>
      <c r="AO145" s="119">
        <f>IF(AND(AD145="Y",C145="12:15 PM",E145="N",L145="Y"),COUNTIFS($AD$2:AD145,"Y",$C$2:C145,"12:15 PM",$E$2:E145,"N",$L$2:L145,"Y"),"")</f>
        <v/>
      </c>
      <c r="AP145" s="119">
        <f>IF(AND(AD145="Y",C145="2:00 PM",E145="N",L145="Y"),COUNTIFS($AD$2:AD145,"Y",$C$2:C145,"2:00 PM",$E$2:E145,"N",$L$2:L145,"Y"),"")</f>
        <v/>
      </c>
    </row>
    <row r="146" ht="14.25" customHeight="1" s="120">
      <c r="A146" s="231" t="inlineStr">
        <is>
          <t>EMP-0152</t>
        </is>
      </c>
      <c r="B146" s="232" t="inlineStr">
        <is>
          <t>Yahkirah Manggrum</t>
        </is>
      </c>
      <c r="C146" s="234" t="inlineStr">
        <is>
          <t>5:45 AM</t>
        </is>
      </c>
      <c r="D146" s="232" t="inlineStr">
        <is>
          <t>Thu, Fri</t>
        </is>
      </c>
      <c r="E146" s="232" t="inlineStr">
        <is>
          <t>N</t>
        </is>
      </c>
      <c r="F146" s="232" t="inlineStr">
        <is>
          <t>N</t>
        </is>
      </c>
      <c r="G146" s="232" t="inlineStr">
        <is>
          <t>Y</t>
        </is>
      </c>
      <c r="H146" s="232" t="inlineStr">
        <is>
          <t>None</t>
        </is>
      </c>
      <c r="I146" s="232" t="inlineStr">
        <is>
          <t>N</t>
        </is>
      </c>
      <c r="J146" s="232" t="inlineStr">
        <is>
          <t>Y</t>
        </is>
      </c>
      <c r="K146" s="232" t="inlineStr">
        <is>
          <t>N</t>
        </is>
      </c>
      <c r="L146" s="232" t="inlineStr">
        <is>
          <t>Y</t>
        </is>
      </c>
      <c r="M146" s="232" t="inlineStr">
        <is>
          <t>Standard</t>
        </is>
      </c>
      <c r="N146" s="232" t="n"/>
      <c r="O146" s="232" t="n"/>
      <c r="P146" s="232" t="inlineStr">
        <is>
          <t>N</t>
        </is>
      </c>
      <c r="Q146" s="232" t="n"/>
      <c r="R146" s="232" t="n"/>
      <c r="S146" s="232" t="n"/>
      <c r="T146" s="233" t="inlineStr">
        <is>
          <t>N</t>
        </is>
      </c>
      <c r="U146" s="227">
        <f>IF($B146="","",IF(AND($G146="Y",ISERROR(SEARCH(TEXT('Control Center'!$B$3,"ddd"),TRIM($D146)))),"Y","N"))</f>
        <v/>
      </c>
      <c r="V146" s="227">
        <f>IF($B146="","",IF(AND($U146="Y",OR($C146="3:45 AM",$C146="5:45 AM"),OR('Control Center'!$B$4="N",$K146&lt;&gt;"Y")),"Y","N"))</f>
        <v/>
      </c>
      <c r="W146" s="227">
        <f>IF($B146="","",IF(AND($U146="Y",OR($C146="12:15 PM",$C146="2:00 PM"),OR('Control Center'!$B$5="N",$K146&lt;&gt;"Y")),"Y","N"))</f>
        <v/>
      </c>
      <c r="X146" s="228" t="n"/>
      <c r="Y146" s="229" t="n"/>
      <c r="Z146" s="228" t="n"/>
      <c r="AA146" s="229" t="n"/>
      <c r="AB146" s="230">
        <f>IF($B146="","",IF($P146="Y",IF($Y146="Y","Completed","In Progress"),""))</f>
        <v/>
      </c>
      <c r="AC146" s="119">
        <f>IF($B146="","",IF(COUNTIFS('Approved Absences'!$A$2:$A$200,$B146,'Approved Absences'!$B$2:$B$200,"&lt;="&amp;INT('Control Center'!$B$3),'Approved Absences'!$C$2:$C$200,"&gt;="&amp;INT('Control Center'!$B$3))&gt;0,"Y","N"))</f>
        <v/>
      </c>
      <c r="AD146" s="119">
        <f>IF($B146="","",IF(AND($G146="Y",$AC146&lt;&gt;"Y",ISERROR(SEARCH(TEXT('Control Center'!$B$3,"ddd"),TRIM($D146)))),"Y","N"))</f>
        <v/>
      </c>
      <c r="AE146" s="119">
        <f>IF(AND(AD146="Y",C146="3:45 AM",E146="N",K146&lt;&gt;"Y"),COUNTIFS($AD$2:AD146,"Y",$C$2:C146,"3:45 AM",$E$2:E146,"N",$K$2:K146,"&lt;&gt;Y"),"")</f>
        <v/>
      </c>
      <c r="AF146" s="119">
        <f>IF(AND(AD146="Y",C146="5:45 AM",E146="N",K146&lt;&gt;"Y"),COUNTIFS($AD$2:AD146,"Y",$C$2:C146,"5:45 AM",$E$2:E146,"N",$K$2:K146,"&lt;&gt;Y"),"")</f>
        <v/>
      </c>
      <c r="AG146" s="119">
        <f>IF(AND(AD146="Y",C146="3:45 AM",E146="N",L146="Y",K146&lt;&gt;"Y"),COUNTIFS($AD$2:AD146,"Y",$C$2:C146,"3:45 AM",$E$2:E146,"N",$L$2:L146,"Y",$K$2:K146,"&lt;&gt;Y"),"")</f>
        <v/>
      </c>
      <c r="AH146" s="119">
        <f>IF(AND(AD146="Y",C146="5:45 AM",E146="N",L146="Y",K146&lt;&gt;"Y"),COUNTIFS($AD$2:AD146,"Y",$C$2:C146,"5:45 AM",$E$2:E146,"N",$L$2:L146,"Y",$K$2:K146,"&lt;&gt;Y"),"")</f>
        <v/>
      </c>
      <c r="AI146" s="119">
        <f>IF(AND(AD146="Y",E146="N",K146="Y",OR(C146="3:45 AM",C146="5:45 AM")),SUMPRODUCT(($AD$2:AD146="Y")*($E$2:E146="N")*($K$2:K146="Y")*(($C$2:C146="3:45 AM")+($C$2:C146="5:45 AM"))), "")</f>
        <v/>
      </c>
      <c r="AJ146" s="119">
        <f>IF(AND(AD146="Y",C146="3:45 AM",E146="N",J146="Y"),COUNTIFS($AD$2:AD146,"Y",$C$2:C146,"3:45 AM",$E$2:E146,"N",$J$2:J146,"Y"),"")</f>
        <v/>
      </c>
      <c r="AK146" s="119">
        <f>IF(AND(AD146="Y",E146="N",I146="Y",OR(C146="3:45 AM",C146="5:45 AM")),SUMPRODUCT(($AD$2:AD146="Y")*($E$2:E146="N")*($I$2:I146="Y")*(($C$2:C146="3:45 AM")+($C$2:C146="5:45 AM"))), "")</f>
        <v/>
      </c>
      <c r="AL146" s="119">
        <f>IF(AND(AD146="Y",C146="12:15 PM",E146="N",K146&lt;&gt;"Y"),COUNTIFS($AD$2:AD146,"Y",$C$2:C146,"12:15 PM",$E$2:E146,"N",$K$2:K146,"&lt;&gt;Y"),"")</f>
        <v/>
      </c>
      <c r="AM146" s="119">
        <f>IF(AND(AD146="Y",C146="2:00 PM",E146="N",K146&lt;&gt;"Y"),COUNTIFS($AD$2:AD146,"Y",$C$2:C146,"2:00 PM",$E$2:E146,"N",$K$2:K146,"&lt;&gt;Y"),"")</f>
        <v/>
      </c>
      <c r="AN146" s="119">
        <f>IF(AND(AD146="Y",E146="N",K146="Y",OR(C146="12:15 PM",C146="2:00 PM")),SUMPRODUCT(($AD$2:AD146="Y")*($E$2:E146="N")*($K$2:K146="Y")*(($C$2:C146="12:15 PM")+($C$2:C146="2:00 PM"))), "")</f>
        <v/>
      </c>
      <c r="AO146" s="119">
        <f>IF(AND(AD146="Y",C146="12:15 PM",E146="N",L146="Y"),COUNTIFS($AD$2:AD146,"Y",$C$2:C146,"12:15 PM",$E$2:E146,"N",$L$2:L146,"Y"),"")</f>
        <v/>
      </c>
      <c r="AP146" s="119">
        <f>IF(AND(AD146="Y",C146="2:00 PM",E146="N",L146="Y"),COUNTIFS($AD$2:AD146,"Y",$C$2:C146,"2:00 PM",$E$2:E146,"N",$L$2:L146,"Y"),"")</f>
        <v/>
      </c>
    </row>
    <row r="147" ht="14.25" customHeight="1" s="120">
      <c r="A147" s="231" t="inlineStr">
        <is>
          <t>EMP-0154</t>
        </is>
      </c>
      <c r="B147" s="232" t="inlineStr">
        <is>
          <t>Yitshhaq Sagahon</t>
        </is>
      </c>
      <c r="C147" s="232" t="inlineStr">
        <is>
          <t>2:00 PM</t>
        </is>
      </c>
      <c r="D147" s="232" t="inlineStr">
        <is>
          <t>Thu, Fri</t>
        </is>
      </c>
      <c r="E147" s="232" t="inlineStr">
        <is>
          <t>N</t>
        </is>
      </c>
      <c r="F147" s="232" t="inlineStr">
        <is>
          <t>Y</t>
        </is>
      </c>
      <c r="G147" s="232" t="inlineStr">
        <is>
          <t>Y</t>
        </is>
      </c>
      <c r="H147" s="232" t="inlineStr">
        <is>
          <t>None</t>
        </is>
      </c>
      <c r="I147" s="232" t="inlineStr">
        <is>
          <t>N</t>
        </is>
      </c>
      <c r="J147" s="232" t="inlineStr">
        <is>
          <t>Y</t>
        </is>
      </c>
      <c r="K147" s="232" t="inlineStr">
        <is>
          <t>N</t>
        </is>
      </c>
      <c r="L147" s="232" t="inlineStr">
        <is>
          <t>Y</t>
        </is>
      </c>
      <c r="M147" s="232" t="inlineStr">
        <is>
          <t>Standard</t>
        </is>
      </c>
      <c r="N147" s="232" t="n"/>
      <c r="O147" s="232" t="n"/>
      <c r="P147" s="232" t="inlineStr">
        <is>
          <t>N</t>
        </is>
      </c>
      <c r="Q147" s="232" t="n"/>
      <c r="R147" s="232" t="n"/>
      <c r="S147" s="232" t="n"/>
      <c r="T147" s="233" t="inlineStr">
        <is>
          <t>N</t>
        </is>
      </c>
      <c r="U147" s="227">
        <f>IF($B147="","",IF(AND($G147="Y",ISERROR(SEARCH(TEXT('Control Center'!$B$3,"ddd"),TRIM($D147)))),"Y","N"))</f>
        <v/>
      </c>
      <c r="V147" s="227">
        <f>IF($B147="","",IF(AND($U147="Y",OR($C147="3:45 AM",$C147="5:45 AM"),OR('Control Center'!$B$4="N",$K147&lt;&gt;"Y")),"Y","N"))</f>
        <v/>
      </c>
      <c r="W147" s="227">
        <f>IF($B147="","",IF(AND($U147="Y",OR($C147="12:15 PM",$C147="2:00 PM"),OR('Control Center'!$B$5="N",$K147&lt;&gt;"Y")),"Y","N"))</f>
        <v/>
      </c>
      <c r="X147" s="228" t="n"/>
      <c r="Y147" s="229" t="n"/>
      <c r="Z147" s="228" t="n"/>
      <c r="AA147" s="229" t="n"/>
      <c r="AB147" s="230">
        <f>IF($B147="","",IF($P147="Y",IF($Y147="Y","Completed","In Progress"),""))</f>
        <v/>
      </c>
      <c r="AC147" s="119">
        <f>IF($B147="","",IF(COUNTIFS('Approved Absences'!$A$2:$A$200,$B147,'Approved Absences'!$B$2:$B$200,"&lt;="&amp;INT('Control Center'!$B$3),'Approved Absences'!$C$2:$C$200,"&gt;="&amp;INT('Control Center'!$B$3))&gt;0,"Y","N"))</f>
        <v/>
      </c>
      <c r="AD147" s="119">
        <f>IF($B147="","",IF(AND($G147="Y",$AC147&lt;&gt;"Y",ISERROR(SEARCH(TEXT('Control Center'!$B$3,"ddd"),TRIM($D147)))),"Y","N"))</f>
        <v/>
      </c>
      <c r="AE147" s="119">
        <f>IF(AND(AD147="Y",C147="3:45 AM",E147="N",K147&lt;&gt;"Y"),COUNTIFS($AD$2:AD147,"Y",$C$2:C147,"3:45 AM",$E$2:E147,"N",$K$2:K147,"&lt;&gt;Y"),"")</f>
        <v/>
      </c>
      <c r="AF147" s="119">
        <f>IF(AND(AD147="Y",C147="5:45 AM",E147="N",K147&lt;&gt;"Y"),COUNTIFS($AD$2:AD147,"Y",$C$2:C147,"5:45 AM",$E$2:E147,"N",$K$2:K147,"&lt;&gt;Y"),"")</f>
        <v/>
      </c>
      <c r="AG147" s="119">
        <f>IF(AND(AD147="Y",C147="3:45 AM",E147="N",L147="Y",K147&lt;&gt;"Y"),COUNTIFS($AD$2:AD147,"Y",$C$2:C147,"3:45 AM",$E$2:E147,"N",$L$2:L147,"Y",$K$2:K147,"&lt;&gt;Y"),"")</f>
        <v/>
      </c>
      <c r="AH147" s="119">
        <f>IF(AND(AD147="Y",C147="5:45 AM",E147="N",L147="Y",K147&lt;&gt;"Y"),COUNTIFS($AD$2:AD147,"Y",$C$2:C147,"5:45 AM",$E$2:E147,"N",$L$2:L147,"Y",$K$2:K147,"&lt;&gt;Y"),"")</f>
        <v/>
      </c>
      <c r="AI147" s="119">
        <f>IF(AND(AD147="Y",E147="N",K147="Y",OR(C147="3:45 AM",C147="5:45 AM")),SUMPRODUCT(($AD$2:AD147="Y")*($E$2:E147="N")*($K$2:K147="Y")*(($C$2:C147="3:45 AM")+($C$2:C147="5:45 AM"))), "")</f>
        <v/>
      </c>
      <c r="AJ147" s="119">
        <f>IF(AND(AD147="Y",C147="3:45 AM",E147="N",J147="Y"),COUNTIFS($AD$2:AD147,"Y",$C$2:C147,"3:45 AM",$E$2:E147,"N",$J$2:J147,"Y"),"")</f>
        <v/>
      </c>
      <c r="AK147" s="119">
        <f>IF(AND(AD147="Y",E147="N",I147="Y",OR(C147="3:45 AM",C147="5:45 AM")),SUMPRODUCT(($AD$2:AD147="Y")*($E$2:E147="N")*($I$2:I147="Y")*(($C$2:C147="3:45 AM")+($C$2:C147="5:45 AM"))), "")</f>
        <v/>
      </c>
      <c r="AL147" s="119">
        <f>IF(AND(AD147="Y",C147="12:15 PM",E147="N",K147&lt;&gt;"Y"),COUNTIFS($AD$2:AD147,"Y",$C$2:C147,"12:15 PM",$E$2:E147,"N",$K$2:K147,"&lt;&gt;Y"),"")</f>
        <v/>
      </c>
      <c r="AM147" s="119">
        <f>IF(AND(AD147="Y",C147="2:00 PM",E147="N",K147&lt;&gt;"Y"),COUNTIFS($AD$2:AD147,"Y",$C$2:C147,"2:00 PM",$E$2:E147,"N",$K$2:K147,"&lt;&gt;Y"),"")</f>
        <v/>
      </c>
      <c r="AN147" s="119">
        <f>IF(AND(AD147="Y",E147="N",K147="Y",OR(C147="12:15 PM",C147="2:00 PM")),SUMPRODUCT(($AD$2:AD147="Y")*($E$2:E147="N")*($K$2:K147="Y")*(($C$2:C147="12:15 PM")+($C$2:C147="2:00 PM"))), "")</f>
        <v/>
      </c>
      <c r="AO147" s="119">
        <f>IF(AND(AD147="Y",C147="12:15 PM",E147="N",L147="Y"),COUNTIFS($AD$2:AD147,"Y",$C$2:C147,"12:15 PM",$E$2:E147,"N",$L$2:L147,"Y"),"")</f>
        <v/>
      </c>
      <c r="AP147" s="119">
        <f>IF(AND(AD147="Y",C147="2:00 PM",E147="N",L147="Y"),COUNTIFS($AD$2:AD147,"Y",$C$2:C147,"2:00 PM",$E$2:E147,"N",$L$2:L147,"Y"),"")</f>
        <v/>
      </c>
    </row>
    <row r="148" ht="14.25" customHeight="1" s="120">
      <c r="A148" s="231" t="inlineStr">
        <is>
          <t>EMP-0155</t>
        </is>
      </c>
      <c r="B148" s="232" t="inlineStr">
        <is>
          <t>Youba Coly</t>
        </is>
      </c>
      <c r="C148" s="232" t="inlineStr">
        <is>
          <t>2:00 PM</t>
        </is>
      </c>
      <c r="D148" s="232" t="inlineStr">
        <is>
          <t>Fri, Sat</t>
        </is>
      </c>
      <c r="E148" s="232" t="inlineStr">
        <is>
          <t>N</t>
        </is>
      </c>
      <c r="F148" s="232" t="inlineStr">
        <is>
          <t>Y</t>
        </is>
      </c>
      <c r="G148" s="232" t="inlineStr">
        <is>
          <t>Y</t>
        </is>
      </c>
      <c r="H148" s="232" t="inlineStr">
        <is>
          <t>7:00 PM</t>
        </is>
      </c>
      <c r="I148" s="232" t="inlineStr">
        <is>
          <t>Y</t>
        </is>
      </c>
      <c r="J148" s="232" t="inlineStr">
        <is>
          <t>Y</t>
        </is>
      </c>
      <c r="K148" s="232" t="inlineStr">
        <is>
          <t>N</t>
        </is>
      </c>
      <c r="L148" s="232" t="inlineStr">
        <is>
          <t>Y</t>
        </is>
      </c>
      <c r="M148" s="232" t="inlineStr">
        <is>
          <t>Standard</t>
        </is>
      </c>
      <c r="N148" s="232" t="n"/>
      <c r="O148" s="232" t="n"/>
      <c r="P148" s="232" t="inlineStr">
        <is>
          <t>N</t>
        </is>
      </c>
      <c r="Q148" s="232" t="n"/>
      <c r="R148" s="232" t="n"/>
      <c r="S148" s="232" t="n"/>
      <c r="T148" s="233" t="inlineStr">
        <is>
          <t>N</t>
        </is>
      </c>
      <c r="U148" s="227">
        <f>IF($B148="","",IF(AND($G148="Y",ISERROR(SEARCH(TEXT('Control Center'!$B$3,"ddd"),TRIM($D148)))),"Y","N"))</f>
        <v/>
      </c>
      <c r="V148" s="227">
        <f>IF($B148="","",IF(AND($U148="Y",OR($C148="3:45 AM",$C148="5:45 AM"),OR('Control Center'!$B$4="N",$K148&lt;&gt;"Y")),"Y","N"))</f>
        <v/>
      </c>
      <c r="W148" s="227">
        <f>IF($B148="","",IF(AND($U148="Y",OR($C148="12:15 PM",$C148="2:00 PM"),OR('Control Center'!$B$5="N",$K148&lt;&gt;"Y")),"Y","N"))</f>
        <v/>
      </c>
      <c r="X148" s="228" t="n"/>
      <c r="Y148" s="229" t="n"/>
      <c r="Z148" s="228" t="n"/>
      <c r="AA148" s="229" t="n"/>
      <c r="AB148" s="230">
        <f>IF($B148="","",IF($P148="Y",IF($Y148="Y","Completed","In Progress"),""))</f>
        <v/>
      </c>
      <c r="AC148" s="119">
        <f>IF($B148="","",IF(COUNTIFS('Approved Absences'!$A$2:$A$200,$B148,'Approved Absences'!$B$2:$B$200,"&lt;="&amp;INT('Control Center'!$B$3),'Approved Absences'!$C$2:$C$200,"&gt;="&amp;INT('Control Center'!$B$3))&gt;0,"Y","N"))</f>
        <v/>
      </c>
      <c r="AD148" s="119">
        <f>IF($B148="","",IF(AND($G148="Y",$AC148&lt;&gt;"Y",ISERROR(SEARCH(TEXT('Control Center'!$B$3,"ddd"),TRIM($D148)))),"Y","N"))</f>
        <v/>
      </c>
      <c r="AE148" s="119">
        <f>IF(AND(AD148="Y",C148="3:45 AM",E148="N",K148&lt;&gt;"Y"),COUNTIFS($AD$2:AD148,"Y",$C$2:C148,"3:45 AM",$E$2:E148,"N",$K$2:K148,"&lt;&gt;Y"),"")</f>
        <v/>
      </c>
      <c r="AF148" s="119">
        <f>IF(AND(AD148="Y",C148="5:45 AM",E148="N",K148&lt;&gt;"Y"),COUNTIFS($AD$2:AD148,"Y",$C$2:C148,"5:45 AM",$E$2:E148,"N",$K$2:K148,"&lt;&gt;Y"),"")</f>
        <v/>
      </c>
      <c r="AG148" s="119">
        <f>IF(AND(AD148="Y",C148="3:45 AM",E148="N",L148="Y",K148&lt;&gt;"Y"),COUNTIFS($AD$2:AD148,"Y",$C$2:C148,"3:45 AM",$E$2:E148,"N",$L$2:L148,"Y",$K$2:K148,"&lt;&gt;Y"),"")</f>
        <v/>
      </c>
      <c r="AH148" s="119">
        <f>IF(AND(AD148="Y",C148="5:45 AM",E148="N",L148="Y",K148&lt;&gt;"Y"),COUNTIFS($AD$2:AD148,"Y",$C$2:C148,"5:45 AM",$E$2:E148,"N",$L$2:L148,"Y",$K$2:K148,"&lt;&gt;Y"),"")</f>
        <v/>
      </c>
      <c r="AI148" s="119">
        <f>IF(AND(AD148="Y",E148="N",K148="Y",OR(C148="3:45 AM",C148="5:45 AM")),SUMPRODUCT(($AD$2:AD148="Y")*($E$2:E148="N")*($K$2:K148="Y")*(($C$2:C148="3:45 AM")+($C$2:C148="5:45 AM"))), "")</f>
        <v/>
      </c>
      <c r="AJ148" s="119">
        <f>IF(AND(AD148="Y",C148="3:45 AM",E148="N",J148="Y"),COUNTIFS($AD$2:AD148,"Y",$C$2:C148,"3:45 AM",$E$2:E148,"N",$J$2:J148,"Y"),"")</f>
        <v/>
      </c>
      <c r="AK148" s="119">
        <f>IF(AND(AD148="Y",E148="N",I148="Y",OR(C148="3:45 AM",C148="5:45 AM")),SUMPRODUCT(($AD$2:AD148="Y")*($E$2:E148="N")*($I$2:I148="Y")*(($C$2:C148="3:45 AM")+($C$2:C148="5:45 AM"))), "")</f>
        <v/>
      </c>
      <c r="AL148" s="119">
        <f>IF(AND(AD148="Y",C148="12:15 PM",E148="N",K148&lt;&gt;"Y"),COUNTIFS($AD$2:AD148,"Y",$C$2:C148,"12:15 PM",$E$2:E148,"N",$K$2:K148,"&lt;&gt;Y"),"")</f>
        <v/>
      </c>
      <c r="AM148" s="119">
        <f>IF(AND(AD148="Y",C148="2:00 PM",E148="N",K148&lt;&gt;"Y"),COUNTIFS($AD$2:AD148,"Y",$C$2:C148,"2:00 PM",$E$2:E148,"N",$K$2:K148,"&lt;&gt;Y"),"")</f>
        <v/>
      </c>
      <c r="AN148" s="119">
        <f>IF(AND(AD148="Y",E148="N",K148="Y",OR(C148="12:15 PM",C148="2:00 PM")),SUMPRODUCT(($AD$2:AD148="Y")*($E$2:E148="N")*($K$2:K148="Y")*(($C$2:C148="12:15 PM")+($C$2:C148="2:00 PM"))), "")</f>
        <v/>
      </c>
      <c r="AO148" s="119">
        <f>IF(AND(AD148="Y",C148="12:15 PM",E148="N",L148="Y"),COUNTIFS($AD$2:AD148,"Y",$C$2:C148,"12:15 PM",$E$2:E148,"N",$L$2:L148,"Y"),"")</f>
        <v/>
      </c>
      <c r="AP148" s="119">
        <f>IF(AND(AD148="Y",C148="2:00 PM",E148="N",L148="Y"),COUNTIFS($AD$2:AD148,"Y",$C$2:C148,"2:00 PM",$E$2:E148,"N",$L$2:L148,"Y"),"")</f>
        <v/>
      </c>
    </row>
    <row r="149" ht="14.25" customHeight="1" s="120">
      <c r="A149" s="231" t="inlineStr">
        <is>
          <t>EMP-0156</t>
        </is>
      </c>
      <c r="B149" s="232" t="inlineStr">
        <is>
          <t>Youssouf Traore</t>
        </is>
      </c>
      <c r="C149" s="232" t="inlineStr">
        <is>
          <t>2:00 PM</t>
        </is>
      </c>
      <c r="D149" s="232" t="inlineStr">
        <is>
          <t>Wed, Thu</t>
        </is>
      </c>
      <c r="E149" s="232" t="inlineStr">
        <is>
          <t>N</t>
        </is>
      </c>
      <c r="F149" s="232" t="inlineStr">
        <is>
          <t>Y</t>
        </is>
      </c>
      <c r="G149" s="232" t="inlineStr">
        <is>
          <t>Y</t>
        </is>
      </c>
      <c r="H149" s="232" t="inlineStr">
        <is>
          <t>7:00 PM</t>
        </is>
      </c>
      <c r="I149" s="232" t="inlineStr">
        <is>
          <t>N</t>
        </is>
      </c>
      <c r="J149" s="232" t="inlineStr">
        <is>
          <t>Y</t>
        </is>
      </c>
      <c r="K149" s="232" t="inlineStr">
        <is>
          <t>N</t>
        </is>
      </c>
      <c r="L149" s="232" t="inlineStr">
        <is>
          <t>Y</t>
        </is>
      </c>
      <c r="M149" s="232" t="inlineStr">
        <is>
          <t>Standard</t>
        </is>
      </c>
      <c r="N149" s="232" t="n"/>
      <c r="O149" s="232" t="n"/>
      <c r="P149" s="232" t="inlineStr">
        <is>
          <t>N</t>
        </is>
      </c>
      <c r="Q149" s="232" t="n"/>
      <c r="R149" s="232" t="n"/>
      <c r="S149" s="232" t="n"/>
      <c r="T149" s="233" t="inlineStr">
        <is>
          <t>N</t>
        </is>
      </c>
      <c r="U149" s="227">
        <f>IF($B149="","",IF(AND($G149="Y",ISERROR(SEARCH(TEXT('Control Center'!$B$3,"ddd"),TRIM($D149)))),"Y","N"))</f>
        <v/>
      </c>
      <c r="V149" s="227">
        <f>IF($B149="","",IF(AND($U149="Y",OR($C149="3:45 AM",$C149="5:45 AM"),OR('Control Center'!$B$4="N",$K149&lt;&gt;"Y")),"Y","N"))</f>
        <v/>
      </c>
      <c r="W149" s="227">
        <f>IF($B149="","",IF(AND($U149="Y",OR($C149="12:15 PM",$C149="2:00 PM"),OR('Control Center'!$B$5="N",$K149&lt;&gt;"Y")),"Y","N"))</f>
        <v/>
      </c>
      <c r="X149" s="228" t="n"/>
      <c r="Y149" s="229" t="n"/>
      <c r="Z149" s="228" t="n"/>
      <c r="AA149" s="229" t="n"/>
      <c r="AB149" s="230">
        <f>IF($B149="","",IF($P149="Y",IF($Y149="Y","Completed","In Progress"),""))</f>
        <v/>
      </c>
      <c r="AC149" s="119">
        <f>IF($B149="","",IF(COUNTIFS('Approved Absences'!$A$2:$A$200,$B149,'Approved Absences'!$B$2:$B$200,"&lt;="&amp;INT('Control Center'!$B$3),'Approved Absences'!$C$2:$C$200,"&gt;="&amp;INT('Control Center'!$B$3))&gt;0,"Y","N"))</f>
        <v/>
      </c>
      <c r="AD149" s="119">
        <f>IF($B149="","",IF(AND($G149="Y",$AC149&lt;&gt;"Y",ISERROR(SEARCH(TEXT('Control Center'!$B$3,"ddd"),TRIM($D149)))),"Y","N"))</f>
        <v/>
      </c>
      <c r="AE149" s="119">
        <f>IF(AND(AD149="Y",C149="3:45 AM",E149="N",K149&lt;&gt;"Y"),COUNTIFS($AD$2:AD149,"Y",$C$2:C149,"3:45 AM",$E$2:E149,"N",$K$2:K149,"&lt;&gt;Y"),"")</f>
        <v/>
      </c>
      <c r="AF149" s="119">
        <f>IF(AND(AD149="Y",C149="5:45 AM",E149="N",K149&lt;&gt;"Y"),COUNTIFS($AD$2:AD149,"Y",$C$2:C149,"5:45 AM",$E$2:E149,"N",$K$2:K149,"&lt;&gt;Y"),"")</f>
        <v/>
      </c>
      <c r="AG149" s="119">
        <f>IF(AND(AD149="Y",C149="3:45 AM",E149="N",L149="Y",K149&lt;&gt;"Y"),COUNTIFS($AD$2:AD149,"Y",$C$2:C149,"3:45 AM",$E$2:E149,"N",$L$2:L149,"Y",$K$2:K149,"&lt;&gt;Y"),"")</f>
        <v/>
      </c>
      <c r="AH149" s="119">
        <f>IF(AND(AD149="Y",C149="5:45 AM",E149="N",L149="Y",K149&lt;&gt;"Y"),COUNTIFS($AD$2:AD149,"Y",$C$2:C149,"5:45 AM",$E$2:E149,"N",$L$2:L149,"Y",$K$2:K149,"&lt;&gt;Y"),"")</f>
        <v/>
      </c>
      <c r="AI149" s="119">
        <f>IF(AND(AD149="Y",E149="N",K149="Y",OR(C149="3:45 AM",C149="5:45 AM")),SUMPRODUCT(($AD$2:AD149="Y")*($E$2:E149="N")*($K$2:K149="Y")*(($C$2:C149="3:45 AM")+($C$2:C149="5:45 AM"))), "")</f>
        <v/>
      </c>
      <c r="AJ149" s="119">
        <f>IF(AND(AD149="Y",C149="3:45 AM",E149="N",J149="Y"),COUNTIFS($AD$2:AD149,"Y",$C$2:C149,"3:45 AM",$E$2:E149,"N",$J$2:J149,"Y"),"")</f>
        <v/>
      </c>
      <c r="AK149" s="119">
        <f>IF(AND(AD149="Y",E149="N",I149="Y",OR(C149="3:45 AM",C149="5:45 AM")),SUMPRODUCT(($AD$2:AD149="Y")*($E$2:E149="N")*($I$2:I149="Y")*(($C$2:C149="3:45 AM")+($C$2:C149="5:45 AM"))), "")</f>
        <v/>
      </c>
      <c r="AL149" s="119">
        <f>IF(AND(AD149="Y",C149="12:15 PM",E149="N",K149&lt;&gt;"Y"),COUNTIFS($AD$2:AD149,"Y",$C$2:C149,"12:15 PM",$E$2:E149,"N",$K$2:K149,"&lt;&gt;Y"),"")</f>
        <v/>
      </c>
      <c r="AM149" s="119">
        <f>IF(AND(AD149="Y",C149="2:00 PM",E149="N",K149&lt;&gt;"Y"),COUNTIFS($AD$2:AD149,"Y",$C$2:C149,"2:00 PM",$E$2:E149,"N",$K$2:K149,"&lt;&gt;Y"),"")</f>
        <v/>
      </c>
      <c r="AN149" s="119">
        <f>IF(AND(AD149="Y",E149="N",K149="Y",OR(C149="12:15 PM",C149="2:00 PM")),SUMPRODUCT(($AD$2:AD149="Y")*($E$2:E149="N")*($K$2:K149="Y")*(($C$2:C149="12:15 PM")+($C$2:C149="2:00 PM"))), "")</f>
        <v/>
      </c>
      <c r="AO149" s="119">
        <f>IF(AND(AD149="Y",C149="12:15 PM",E149="N",L149="Y"),COUNTIFS($AD$2:AD149,"Y",$C$2:C149,"12:15 PM",$E$2:E149,"N",$L$2:L149,"Y"),"")</f>
        <v/>
      </c>
      <c r="AP149" s="119">
        <f>IF(AND(AD149="Y",C149="2:00 PM",E149="N",L149="Y"),COUNTIFS($AD$2:AD149,"Y",$C$2:C149,"2:00 PM",$E$2:E149,"N",$L$2:L149,"Y"),"")</f>
        <v/>
      </c>
    </row>
    <row r="150" ht="14.25" customHeight="1" s="120">
      <c r="A150" s="231" t="inlineStr">
        <is>
          <t>EMP-0157</t>
        </is>
      </c>
      <c r="B150" s="232" t="inlineStr">
        <is>
          <t>Zinash Shiferaw</t>
        </is>
      </c>
      <c r="C150" s="232" t="inlineStr">
        <is>
          <t>12:15 PM</t>
        </is>
      </c>
      <c r="D150" s="232" t="inlineStr">
        <is>
          <t>Tue, Wed</t>
        </is>
      </c>
      <c r="E150" s="232" t="inlineStr">
        <is>
          <t>N</t>
        </is>
      </c>
      <c r="F150" s="232" t="inlineStr">
        <is>
          <t>N</t>
        </is>
      </c>
      <c r="G150" s="232" t="inlineStr">
        <is>
          <t>Y</t>
        </is>
      </c>
      <c r="H150" s="232" t="inlineStr">
        <is>
          <t>None</t>
        </is>
      </c>
      <c r="I150" s="232" t="inlineStr">
        <is>
          <t>N</t>
        </is>
      </c>
      <c r="J150" s="232" t="inlineStr">
        <is>
          <t>N</t>
        </is>
      </c>
      <c r="K150" s="232" t="inlineStr">
        <is>
          <t>N</t>
        </is>
      </c>
      <c r="L150" s="232" t="inlineStr">
        <is>
          <t>Y</t>
        </is>
      </c>
      <c r="M150" s="232" t="inlineStr">
        <is>
          <t>Standard</t>
        </is>
      </c>
      <c r="N150" s="232" t="n"/>
      <c r="O150" s="232" t="n"/>
      <c r="P150" s="232" t="inlineStr">
        <is>
          <t>N</t>
        </is>
      </c>
      <c r="Q150" s="232" t="n"/>
      <c r="R150" s="232" t="n"/>
      <c r="S150" s="232" t="n"/>
      <c r="T150" s="233" t="inlineStr">
        <is>
          <t>N</t>
        </is>
      </c>
      <c r="U150" s="227">
        <f>IF($B150="","",IF(AND($G150="Y",ISERROR(SEARCH(TEXT('Control Center'!$B$3,"ddd"),TRIM($D150)))),"Y","N"))</f>
        <v/>
      </c>
      <c r="V150" s="227">
        <f>IF($B150="","",IF(AND($U150="Y",OR($C150="3:45 AM",$C150="5:45 AM"),OR('Control Center'!$B$4="N",$K150&lt;&gt;"Y")),"Y","N"))</f>
        <v/>
      </c>
      <c r="W150" s="227">
        <f>IF($B150="","",IF(AND($U150="Y",OR($C150="12:15 PM",$C150="2:00 PM"),OR('Control Center'!$B$5="N",$K150&lt;&gt;"Y")),"Y","N"))</f>
        <v/>
      </c>
      <c r="X150" s="228" t="n"/>
      <c r="Y150" s="229" t="n"/>
      <c r="Z150" s="228" t="n"/>
      <c r="AA150" s="229" t="n"/>
      <c r="AB150" s="230">
        <f>IF($B150="","",IF($P150="Y",IF($Y150="Y","Completed","In Progress"),""))</f>
        <v/>
      </c>
      <c r="AC150" s="119">
        <f>IF($B150="","",IF(COUNTIFS('Approved Absences'!$A$2:$A$200,$B150,'Approved Absences'!$B$2:$B$200,"&lt;="&amp;INT('Control Center'!$B$3),'Approved Absences'!$C$2:$C$200,"&gt;="&amp;INT('Control Center'!$B$3))&gt;0,"Y","N"))</f>
        <v/>
      </c>
      <c r="AD150" s="119">
        <f>IF($B150="","",IF(AND($G150="Y",$AC150&lt;&gt;"Y",ISERROR(SEARCH(TEXT('Control Center'!$B$3,"ddd"),TRIM($D150)))),"Y","N"))</f>
        <v/>
      </c>
      <c r="AE150" s="119">
        <f>IF(AND(AD150="Y",C150="3:45 AM",E150="N",K150&lt;&gt;"Y"),COUNTIFS($AD$2:AD150,"Y",$C$2:C150,"3:45 AM",$E$2:E150,"N",$K$2:K150,"&lt;&gt;Y"),"")</f>
        <v/>
      </c>
      <c r="AF150" s="119">
        <f>IF(AND(AD150="Y",C150="5:45 AM",E150="N",K150&lt;&gt;"Y"),COUNTIFS($AD$2:AD150,"Y",$C$2:C150,"5:45 AM",$E$2:E150,"N",$K$2:K150,"&lt;&gt;Y"),"")</f>
        <v/>
      </c>
      <c r="AG150" s="119">
        <f>IF(AND(AD150="Y",C150="3:45 AM",E150="N",L150="Y",K150&lt;&gt;"Y"),COUNTIFS($AD$2:AD150,"Y",$C$2:C150,"3:45 AM",$E$2:E150,"N",$L$2:L150,"Y",$K$2:K150,"&lt;&gt;Y"),"")</f>
        <v/>
      </c>
      <c r="AH150" s="119">
        <f>IF(AND(AD150="Y",C150="5:45 AM",E150="N",L150="Y",K150&lt;&gt;"Y"),COUNTIFS($AD$2:AD150,"Y",$C$2:C150,"5:45 AM",$E$2:E150,"N",$L$2:L150,"Y",$K$2:K150,"&lt;&gt;Y"),"")</f>
        <v/>
      </c>
      <c r="AI150" s="119">
        <f>IF(AND(AD150="Y",E150="N",K150="Y",OR(C150="3:45 AM",C150="5:45 AM")),SUMPRODUCT(($AD$2:AD150="Y")*($E$2:E150="N")*($K$2:K150="Y")*(($C$2:C150="3:45 AM")+($C$2:C150="5:45 AM"))), "")</f>
        <v/>
      </c>
      <c r="AJ150" s="119">
        <f>IF(AND(AD150="Y",C150="3:45 AM",E150="N",J150="Y"),COUNTIFS($AD$2:AD150,"Y",$C$2:C150,"3:45 AM",$E$2:E150,"N",$J$2:J150,"Y"),"")</f>
        <v/>
      </c>
      <c r="AK150" s="119">
        <f>IF(AND(AD150="Y",E150="N",I150="Y",OR(C150="3:45 AM",C150="5:45 AM")),SUMPRODUCT(($AD$2:AD150="Y")*($E$2:E150="N")*($I$2:I150="Y")*(($C$2:C150="3:45 AM")+($C$2:C150="5:45 AM"))), "")</f>
        <v/>
      </c>
      <c r="AL150" s="119">
        <f>IF(AND(AD150="Y",C150="12:15 PM",E150="N",K150&lt;&gt;"Y"),COUNTIFS($AD$2:AD150,"Y",$C$2:C150,"12:15 PM",$E$2:E150,"N",$K$2:K150,"&lt;&gt;Y"),"")</f>
        <v/>
      </c>
      <c r="AM150" s="119">
        <f>IF(AND(AD150="Y",C150="2:00 PM",E150="N",K150&lt;&gt;"Y"),COUNTIFS($AD$2:AD150,"Y",$C$2:C150,"2:00 PM",$E$2:E150,"N",$K$2:K150,"&lt;&gt;Y"),"")</f>
        <v/>
      </c>
      <c r="AN150" s="119">
        <f>IF(AND(AD150="Y",E150="N",K150="Y",OR(C150="12:15 PM",C150="2:00 PM")),SUMPRODUCT(($AD$2:AD150="Y")*($E$2:E150="N")*($K$2:K150="Y")*(($C$2:C150="12:15 PM")+($C$2:C150="2:00 PM"))), "")</f>
        <v/>
      </c>
      <c r="AO150" s="119">
        <f>IF(AND(AD150="Y",C150="12:15 PM",E150="N",L150="Y"),COUNTIFS($AD$2:AD150,"Y",$C$2:C150,"12:15 PM",$E$2:E150,"N",$L$2:L150,"Y"),"")</f>
        <v/>
      </c>
      <c r="AP150" s="119">
        <f>IF(AND(AD150="Y",C150="2:00 PM",E150="N",L150="Y"),COUNTIFS($AD$2:AD150,"Y",$C$2:C150,"2:00 PM",$E$2:E150,"N",$L$2:L150,"Y"),"")</f>
        <v/>
      </c>
    </row>
    <row r="151" ht="14.25" customHeight="1" s="120">
      <c r="A151" s="231" t="inlineStr">
        <is>
          <t>EMP-0158</t>
        </is>
      </c>
      <c r="B151" s="232" t="inlineStr">
        <is>
          <t>Phyllis Finklea</t>
        </is>
      </c>
      <c r="C151" s="232" t="inlineStr">
        <is>
          <t>2:00 PM</t>
        </is>
      </c>
      <c r="D151" s="232" t="inlineStr">
        <is>
          <t>Mon, Tue</t>
        </is>
      </c>
      <c r="E151" s="232" t="inlineStr">
        <is>
          <t>N</t>
        </is>
      </c>
      <c r="F151" s="232" t="inlineStr">
        <is>
          <t>N</t>
        </is>
      </c>
      <c r="G151" s="232" t="inlineStr">
        <is>
          <t>Y</t>
        </is>
      </c>
      <c r="H151" s="232" t="inlineStr">
        <is>
          <t>None</t>
        </is>
      </c>
      <c r="I151" s="232" t="inlineStr">
        <is>
          <t>N</t>
        </is>
      </c>
      <c r="J151" s="232" t="inlineStr">
        <is>
          <t>N</t>
        </is>
      </c>
      <c r="K151" s="232" t="inlineStr">
        <is>
          <t>N</t>
        </is>
      </c>
      <c r="L151" s="232" t="inlineStr">
        <is>
          <t>Y</t>
        </is>
      </c>
      <c r="M151" s="232" t="inlineStr">
        <is>
          <t>Standard</t>
        </is>
      </c>
      <c r="N151" s="232" t="n"/>
      <c r="O151" s="232" t="n"/>
      <c r="P151" s="232" t="inlineStr">
        <is>
          <t>N</t>
        </is>
      </c>
      <c r="Q151" s="232" t="n"/>
      <c r="R151" s="232" t="n"/>
      <c r="S151" s="232" t="n"/>
      <c r="T151" s="233" t="inlineStr">
        <is>
          <t>N</t>
        </is>
      </c>
      <c r="U151" s="227">
        <f>IF($B151="","",IF(AND($G151="Y",ISERROR(SEARCH(TEXT('Control Center'!$B$3,"ddd"),TRIM($D151)))),"Y","N"))</f>
        <v/>
      </c>
      <c r="V151" s="227">
        <f>IF($B151="","",IF(AND($U151="Y",OR($C151="3:45 AM",$C151="5:45 AM"),OR('Control Center'!$B$4="N",$K151&lt;&gt;"Y")),"Y","N"))</f>
        <v/>
      </c>
      <c r="W151" s="227">
        <f>IF($B151="","",IF(AND($U151="Y",OR($C151="12:15 PM",$C151="2:00 PM"),OR('Control Center'!$B$5="N",$K151&lt;&gt;"Y")),"Y","N"))</f>
        <v/>
      </c>
      <c r="X151" s="228" t="n"/>
      <c r="Y151" s="229" t="n"/>
      <c r="Z151" s="228" t="n"/>
      <c r="AA151" s="229" t="n"/>
      <c r="AB151" s="230">
        <f>IF($B151="","",IF($P151="Y",IF($Y151="Y","Completed","In Progress"),""))</f>
        <v/>
      </c>
      <c r="AC151" s="119">
        <f>IF($B151="","",IF(COUNTIFS('Approved Absences'!$A$2:$A$200,$B151,'Approved Absences'!$B$2:$B$200,"&lt;="&amp;INT('Control Center'!$B$3),'Approved Absences'!$C$2:$C$200,"&gt;="&amp;INT('Control Center'!$B$3))&gt;0,"Y","N"))</f>
        <v/>
      </c>
      <c r="AD151" s="119">
        <f>IF($B151="","",IF(AND($G151="Y",$AC151&lt;&gt;"Y",ISERROR(SEARCH(TEXT('Control Center'!$B$3,"ddd"),TRIM($D151)))),"Y","N"))</f>
        <v/>
      </c>
      <c r="AE151" s="119">
        <f>IF(AND(AD151="Y",C151="3:45 AM",E151="N",K151&lt;&gt;"Y"),COUNTIFS($AD$2:AD151,"Y",$C$2:C151,"3:45 AM",$E$2:E151,"N",$K$2:K151,"&lt;&gt;Y"),"")</f>
        <v/>
      </c>
      <c r="AF151" s="119">
        <f>IF(AND(AD151="Y",C151="5:45 AM",E151="N",K151&lt;&gt;"Y"),COUNTIFS($AD$2:AD151,"Y",$C$2:C151,"5:45 AM",$E$2:E151,"N",$K$2:K151,"&lt;&gt;Y"),"")</f>
        <v/>
      </c>
      <c r="AG151" s="119">
        <f>IF(AND(AD151="Y",C151="3:45 AM",E151="N",L151="Y",K151&lt;&gt;"Y"),COUNTIFS($AD$2:AD151,"Y",$C$2:C151,"3:45 AM",$E$2:E151,"N",$L$2:L151,"Y",$K$2:K151,"&lt;&gt;Y"),"")</f>
        <v/>
      </c>
      <c r="AH151" s="119">
        <f>IF(AND(AD151="Y",C151="5:45 AM",E151="N",L151="Y",K151&lt;&gt;"Y"),COUNTIFS($AD$2:AD151,"Y",$C$2:C151,"5:45 AM",$E$2:E151,"N",$L$2:L151,"Y",$K$2:K151,"&lt;&gt;Y"),"")</f>
        <v/>
      </c>
      <c r="AI151" s="119">
        <f>IF(AND(AD151="Y",E151="N",K151="Y",OR(C151="3:45 AM",C151="5:45 AM")),SUMPRODUCT(($AD$2:AD151="Y")*($E$2:E151="N")*($K$2:K151="Y")*(($C$2:C151="3:45 AM")+($C$2:C151="5:45 AM"))), "")</f>
        <v/>
      </c>
      <c r="AJ151" s="119">
        <f>IF(AND(AD151="Y",C151="3:45 AM",E151="N",J151="Y"),COUNTIFS($AD$2:AD151,"Y",$C$2:C151,"3:45 AM",$E$2:E151,"N",$J$2:J151,"Y"),"")</f>
        <v/>
      </c>
      <c r="AK151" s="119">
        <f>IF(AND(AD151="Y",E151="N",I151="Y",OR(C151="3:45 AM",C151="5:45 AM")),SUMPRODUCT(($AD$2:AD151="Y")*($E$2:E151="N")*($I$2:I151="Y")*(($C$2:C151="3:45 AM")+($C$2:C151="5:45 AM"))), "")</f>
        <v/>
      </c>
      <c r="AL151" s="119">
        <f>IF(AND(AD151="Y",C151="12:15 PM",E151="N",K151&lt;&gt;"Y"),COUNTIFS($AD$2:AD151,"Y",$C$2:C151,"12:15 PM",$E$2:E151,"N",$K$2:K151,"&lt;&gt;Y"),"")</f>
        <v/>
      </c>
      <c r="AM151" s="119">
        <f>IF(AND(AD151="Y",C151="2:00 PM",E151="N",K151&lt;&gt;"Y"),COUNTIFS($AD$2:AD151,"Y",$C$2:C151,"2:00 PM",$E$2:E151,"N",$K$2:K151,"&lt;&gt;Y"),"")</f>
        <v/>
      </c>
      <c r="AN151" s="119">
        <f>IF(AND(AD151="Y",E151="N",K151="Y",OR(C151="12:15 PM",C151="2:00 PM")),SUMPRODUCT(($AD$2:AD151="Y")*($E$2:E151="N")*($K$2:K151="Y")*(($C$2:C151="12:15 PM")+($C$2:C151="2:00 PM"))), "")</f>
        <v/>
      </c>
      <c r="AO151" s="119">
        <f>IF(AND(AD151="Y",C151="12:15 PM",E151="N",L151="Y"),COUNTIFS($AD$2:AD151,"Y",$C$2:C151,"12:15 PM",$E$2:E151,"N",$L$2:L151,"Y"),"")</f>
        <v/>
      </c>
      <c r="AP151" s="119">
        <f>IF(AND(AD151="Y",C151="2:00 PM",E151="N",L151="Y"),COUNTIFS($AD$2:AD151,"Y",$C$2:C151,"2:00 PM",$E$2:E151,"N",$L$2:L151,"Y"),"")</f>
        <v/>
      </c>
    </row>
    <row r="152" ht="14.25" customHeight="1" s="120">
      <c r="A152" s="231" t="inlineStr">
        <is>
          <t>EMP-0159</t>
        </is>
      </c>
      <c r="B152" s="232" t="inlineStr">
        <is>
          <t>Tangy Winfrey</t>
        </is>
      </c>
      <c r="C152" s="232" t="inlineStr">
        <is>
          <t>2:00 PM</t>
        </is>
      </c>
      <c r="D152" s="232" t="inlineStr">
        <is>
          <t>Thu, Fri</t>
        </is>
      </c>
      <c r="E152" s="232" t="inlineStr">
        <is>
          <t>N</t>
        </is>
      </c>
      <c r="F152" s="232" t="inlineStr">
        <is>
          <t>N</t>
        </is>
      </c>
      <c r="G152" s="232" t="inlineStr">
        <is>
          <t>Y</t>
        </is>
      </c>
      <c r="H152" s="232" t="inlineStr">
        <is>
          <t>None</t>
        </is>
      </c>
      <c r="I152" s="232" t="inlineStr">
        <is>
          <t>N</t>
        </is>
      </c>
      <c r="J152" s="232" t="inlineStr">
        <is>
          <t>N</t>
        </is>
      </c>
      <c r="K152" s="232" t="inlineStr">
        <is>
          <t>N</t>
        </is>
      </c>
      <c r="L152" s="232" t="inlineStr">
        <is>
          <t>Y</t>
        </is>
      </c>
      <c r="M152" s="232" t="inlineStr">
        <is>
          <t>Standard</t>
        </is>
      </c>
      <c r="N152" s="232" t="n"/>
      <c r="O152" s="232" t="n"/>
      <c r="P152" s="232" t="inlineStr">
        <is>
          <t>N</t>
        </is>
      </c>
      <c r="Q152" s="232" t="n"/>
      <c r="R152" s="232" t="n"/>
      <c r="S152" s="232" t="n"/>
      <c r="T152" s="233" t="inlineStr">
        <is>
          <t>N</t>
        </is>
      </c>
      <c r="U152" s="227">
        <f>IF($B152="","",IF(AND($G152="Y",ISERROR(SEARCH(TEXT('Control Center'!$B$3,"ddd"),TRIM($D152)))),"Y","N"))</f>
        <v/>
      </c>
      <c r="V152" s="227">
        <f>IF($B152="","",IF(AND($U152="Y",OR($C152="3:45 AM",$C152="5:45 AM"),OR('Control Center'!$B$4="N",$K152&lt;&gt;"Y")),"Y","N"))</f>
        <v/>
      </c>
      <c r="W152" s="227">
        <f>IF($B152="","",IF(AND($U152="Y",OR($C152="12:15 PM",$C152="2:00 PM"),OR('Control Center'!$B$5="N",$K152&lt;&gt;"Y")),"Y","N"))</f>
        <v/>
      </c>
      <c r="X152" s="228" t="n"/>
      <c r="Y152" s="229" t="n"/>
      <c r="Z152" s="228" t="n"/>
      <c r="AA152" s="229" t="n"/>
      <c r="AB152" s="230">
        <f>IF($B152="","",IF($P152="Y",IF($Y152="Y","Completed","In Progress"),""))</f>
        <v/>
      </c>
      <c r="AC152" s="119">
        <f>IF($B152="","",IF(COUNTIFS('Approved Absences'!$A$2:$A$200,$B152,'Approved Absences'!$B$2:$B$200,"&lt;="&amp;INT('Control Center'!$B$3),'Approved Absences'!$C$2:$C$200,"&gt;="&amp;INT('Control Center'!$B$3))&gt;0,"Y","N"))</f>
        <v/>
      </c>
      <c r="AD152" s="119">
        <f>IF($B152="","",IF(AND($G152="Y",$AC152&lt;&gt;"Y",ISERROR(SEARCH(TEXT('Control Center'!$B$3,"ddd"),TRIM($D152)))),"Y","N"))</f>
        <v/>
      </c>
      <c r="AE152" s="119">
        <f>IF(AND(AD152="Y",C152="3:45 AM",E152="N",K152&lt;&gt;"Y"),COUNTIFS($AD$2:AD152,"Y",$C$2:C152,"3:45 AM",$E$2:E152,"N",$K$2:K152,"&lt;&gt;Y"),"")</f>
        <v/>
      </c>
      <c r="AF152" s="119">
        <f>IF(AND(AD152="Y",C152="5:45 AM",E152="N",K152&lt;&gt;"Y"),COUNTIFS($AD$2:AD152,"Y",$C$2:C152,"5:45 AM",$E$2:E152,"N",$K$2:K152,"&lt;&gt;Y"),"")</f>
        <v/>
      </c>
      <c r="AG152" s="119">
        <f>IF(AND(AD152="Y",C152="3:45 AM",E152="N",L152="Y",K152&lt;&gt;"Y"),COUNTIFS($AD$2:AD152,"Y",$C$2:C152,"3:45 AM",$E$2:E152,"N",$L$2:L152,"Y",$K$2:K152,"&lt;&gt;Y"),"")</f>
        <v/>
      </c>
      <c r="AH152" s="119">
        <f>IF(AND(AD152="Y",C152="5:45 AM",E152="N",L152="Y",K152&lt;&gt;"Y"),COUNTIFS($AD$2:AD152,"Y",$C$2:C152,"5:45 AM",$E$2:E152,"N",$L$2:L152,"Y",$K$2:K152,"&lt;&gt;Y"),"")</f>
        <v/>
      </c>
      <c r="AI152" s="119">
        <f>IF(AND(AD152="Y",E152="N",K152="Y",OR(C152="3:45 AM",C152="5:45 AM")),SUMPRODUCT(($AD$2:AD152="Y")*($E$2:E152="N")*($K$2:K152="Y")*(($C$2:C152="3:45 AM")+($C$2:C152="5:45 AM"))), "")</f>
        <v/>
      </c>
      <c r="AJ152" s="119">
        <f>IF(AND(AD152="Y",C152="3:45 AM",E152="N",J152="Y"),COUNTIFS($AD$2:AD152,"Y",$C$2:C152,"3:45 AM",$E$2:E152,"N",$J$2:J152,"Y"),"")</f>
        <v/>
      </c>
      <c r="AK152" s="119">
        <f>IF(AND(AD152="Y",E152="N",I152="Y",OR(C152="3:45 AM",C152="5:45 AM")),SUMPRODUCT(($AD$2:AD152="Y")*($E$2:E152="N")*($I$2:I152="Y")*(($C$2:C152="3:45 AM")+($C$2:C152="5:45 AM"))), "")</f>
        <v/>
      </c>
      <c r="AL152" s="119">
        <f>IF(AND(AD152="Y",C152="12:15 PM",E152="N",K152&lt;&gt;"Y"),COUNTIFS($AD$2:AD152,"Y",$C$2:C152,"12:15 PM",$E$2:E152,"N",$K$2:K152,"&lt;&gt;Y"),"")</f>
        <v/>
      </c>
      <c r="AM152" s="119">
        <f>IF(AND(AD152="Y",C152="2:00 PM",E152="N",K152&lt;&gt;"Y"),COUNTIFS($AD$2:AD152,"Y",$C$2:C152,"2:00 PM",$E$2:E152,"N",$K$2:K152,"&lt;&gt;Y"),"")</f>
        <v/>
      </c>
      <c r="AN152" s="119">
        <f>IF(AND(AD152="Y",E152="N",K152="Y",OR(C152="12:15 PM",C152="2:00 PM")),SUMPRODUCT(($AD$2:AD152="Y")*($E$2:E152="N")*($K$2:K152="Y")*(($C$2:C152="12:15 PM")+($C$2:C152="2:00 PM"))), "")</f>
        <v/>
      </c>
      <c r="AO152" s="119">
        <f>IF(AND(AD152="Y",C152="12:15 PM",E152="N",L152="Y"),COUNTIFS($AD$2:AD152,"Y",$C$2:C152,"12:15 PM",$E$2:E152,"N",$L$2:L152,"Y"),"")</f>
        <v/>
      </c>
      <c r="AP152" s="119">
        <f>IF(AND(AD152="Y",C152="2:00 PM",E152="N",L152="Y"),COUNTIFS($AD$2:AD152,"Y",$C$2:C152,"2:00 PM",$E$2:E152,"N",$L$2:L152,"Y"),"")</f>
        <v/>
      </c>
    </row>
    <row r="153" ht="14.25" customHeight="1" s="120">
      <c r="A153" s="231" t="inlineStr">
        <is>
          <t>EMP-0160</t>
        </is>
      </c>
      <c r="B153" s="232" t="inlineStr">
        <is>
          <t>Illiasu Bsahmitu</t>
        </is>
      </c>
      <c r="C153" s="232" t="inlineStr">
        <is>
          <t>2:00 PM</t>
        </is>
      </c>
      <c r="D153" s="232" t="inlineStr">
        <is>
          <t>Mon, Tue</t>
        </is>
      </c>
      <c r="E153" s="232" t="inlineStr">
        <is>
          <t>N</t>
        </is>
      </c>
      <c r="F153" s="232" t="inlineStr">
        <is>
          <t>N</t>
        </is>
      </c>
      <c r="G153" s="232" t="inlineStr">
        <is>
          <t>Y</t>
        </is>
      </c>
      <c r="H153" s="232" t="inlineStr">
        <is>
          <t>None</t>
        </is>
      </c>
      <c r="I153" s="232" t="inlineStr">
        <is>
          <t>N</t>
        </is>
      </c>
      <c r="J153" s="232" t="inlineStr">
        <is>
          <t>N</t>
        </is>
      </c>
      <c r="K153" s="232" t="inlineStr">
        <is>
          <t>N</t>
        </is>
      </c>
      <c r="L153" s="232" t="inlineStr">
        <is>
          <t>Y</t>
        </is>
      </c>
      <c r="M153" s="232" t="inlineStr">
        <is>
          <t>Standard</t>
        </is>
      </c>
      <c r="N153" s="232" t="n"/>
      <c r="O153" s="232" t="n"/>
      <c r="P153" s="232" t="inlineStr">
        <is>
          <t>N</t>
        </is>
      </c>
      <c r="Q153" s="232" t="n"/>
      <c r="R153" s="232" t="n"/>
      <c r="S153" s="232" t="n"/>
      <c r="T153" s="233" t="inlineStr">
        <is>
          <t>N</t>
        </is>
      </c>
      <c r="U153" s="227">
        <f>IF($B153="","",IF(AND($G153="Y",ISERROR(SEARCH(TEXT('Control Center'!$B$3,"ddd"),TRIM($D153)))),"Y","N"))</f>
        <v/>
      </c>
      <c r="V153" s="227">
        <f>IF($B153="","",IF(AND($U153="Y",OR($C153="3:45 AM",$C153="5:45 AM"),OR('Control Center'!$B$4="N",$K153&lt;&gt;"Y")),"Y","N"))</f>
        <v/>
      </c>
      <c r="W153" s="227">
        <f>IF($B153="","",IF(AND($U153="Y",OR($C153="12:15 PM",$C153="2:00 PM"),OR('Control Center'!$B$5="N",$K153&lt;&gt;"Y")),"Y","N"))</f>
        <v/>
      </c>
      <c r="X153" s="228" t="n"/>
      <c r="Y153" s="229" t="n"/>
      <c r="Z153" s="228" t="n"/>
      <c r="AA153" s="229" t="n"/>
      <c r="AB153" s="230">
        <f>IF($B153="","",IF($P153="Y",IF($Y153="Y","Completed","In Progress"),""))</f>
        <v/>
      </c>
      <c r="AC153" s="119">
        <f>IF($B153="","",IF(COUNTIFS('Approved Absences'!$A$2:$A$200,$B153,'Approved Absences'!$B$2:$B$200,"&lt;="&amp;INT('Control Center'!$B$3),'Approved Absences'!$C$2:$C$200,"&gt;="&amp;INT('Control Center'!$B$3))&gt;0,"Y","N"))</f>
        <v/>
      </c>
      <c r="AD153" s="119">
        <f>IF($B153="","",IF(AND($G153="Y",$AC153&lt;&gt;"Y",ISERROR(SEARCH(TEXT('Control Center'!$B$3,"ddd"),TRIM($D153)))),"Y","N"))</f>
        <v/>
      </c>
      <c r="AE153" s="119">
        <f>IF(AND(AD153="Y",C153="3:45 AM",E153="N",K153&lt;&gt;"Y"),COUNTIFS($AD$2:AD153,"Y",$C$2:C153,"3:45 AM",$E$2:E153,"N",$K$2:K153,"&lt;&gt;Y"),"")</f>
        <v/>
      </c>
      <c r="AF153" s="119">
        <f>IF(AND(AD153="Y",C153="5:45 AM",E153="N",K153&lt;&gt;"Y"),COUNTIFS($AD$2:AD153,"Y",$C$2:C153,"5:45 AM",$E$2:E153,"N",$K$2:K153,"&lt;&gt;Y"),"")</f>
        <v/>
      </c>
      <c r="AG153" s="119">
        <f>IF(AND(AD153="Y",C153="3:45 AM",E153="N",L153="Y",K153&lt;&gt;"Y"),COUNTIFS($AD$2:AD153,"Y",$C$2:C153,"3:45 AM",$E$2:E153,"N",$L$2:L153,"Y",$K$2:K153,"&lt;&gt;Y"),"")</f>
        <v/>
      </c>
      <c r="AH153" s="119">
        <f>IF(AND(AD153="Y",C153="5:45 AM",E153="N",L153="Y",K153&lt;&gt;"Y"),COUNTIFS($AD$2:AD153,"Y",$C$2:C153,"5:45 AM",$E$2:E153,"N",$L$2:L153,"Y",$K$2:K153,"&lt;&gt;Y"),"")</f>
        <v/>
      </c>
      <c r="AI153" s="119">
        <f>IF(AND(AD153="Y",E153="N",K153="Y",OR(C153="3:45 AM",C153="5:45 AM")),SUMPRODUCT(($AD$2:AD153="Y")*($E$2:E153="N")*($K$2:K153="Y")*(($C$2:C153="3:45 AM")+($C$2:C153="5:45 AM"))), "")</f>
        <v/>
      </c>
      <c r="AJ153" s="119">
        <f>IF(AND(AD153="Y",C153="3:45 AM",E153="N",J153="Y"),COUNTIFS($AD$2:AD153,"Y",$C$2:C153,"3:45 AM",$E$2:E153,"N",$J$2:J153,"Y"),"")</f>
        <v/>
      </c>
      <c r="AK153" s="119">
        <f>IF(AND(AD153="Y",E153="N",I153="Y",OR(C153="3:45 AM",C153="5:45 AM")),SUMPRODUCT(($AD$2:AD153="Y")*($E$2:E153="N")*($I$2:I153="Y")*(($C$2:C153="3:45 AM")+($C$2:C153="5:45 AM"))), "")</f>
        <v/>
      </c>
      <c r="AL153" s="119">
        <f>IF(AND(AD153="Y",C153="12:15 PM",E153="N",K153&lt;&gt;"Y"),COUNTIFS($AD$2:AD153,"Y",$C$2:C153,"12:15 PM",$E$2:E153,"N",$K$2:K153,"&lt;&gt;Y"),"")</f>
        <v/>
      </c>
      <c r="AM153" s="119">
        <f>IF(AND(AD153="Y",C153="2:00 PM",E153="N",K153&lt;&gt;"Y"),COUNTIFS($AD$2:AD153,"Y",$C$2:C153,"2:00 PM",$E$2:E153,"N",$K$2:K153,"&lt;&gt;Y"),"")</f>
        <v/>
      </c>
      <c r="AN153" s="119">
        <f>IF(AND(AD153="Y",E153="N",K153="Y",OR(C153="12:15 PM",C153="2:00 PM")),SUMPRODUCT(($AD$2:AD153="Y")*($E$2:E153="N")*($K$2:K153="Y")*(($C$2:C153="12:15 PM")+($C$2:C153="2:00 PM"))), "")</f>
        <v/>
      </c>
      <c r="AO153" s="119">
        <f>IF(AND(AD153="Y",C153="12:15 PM",E153="N",L153="Y"),COUNTIFS($AD$2:AD153,"Y",$C$2:C153,"12:15 PM",$E$2:E153,"N",$L$2:L153,"Y"),"")</f>
        <v/>
      </c>
      <c r="AP153" s="119">
        <f>IF(AND(AD153="Y",C153="2:00 PM",E153="N",L153="Y"),COUNTIFS($AD$2:AD153,"Y",$C$2:C153,"2:00 PM",$E$2:E153,"N",$L$2:L153,"Y"),"")</f>
        <v/>
      </c>
    </row>
    <row r="154" ht="14.25" customHeight="1" s="120">
      <c r="A154" s="231" t="inlineStr">
        <is>
          <t>EMP-0161</t>
        </is>
      </c>
      <c r="B154" s="232" t="inlineStr">
        <is>
          <t>Zekiah Robinson</t>
        </is>
      </c>
      <c r="C154" s="232" t="inlineStr">
        <is>
          <t>2:00 PM</t>
        </is>
      </c>
      <c r="D154" s="232" t="inlineStr">
        <is>
          <t>Thu, Fri</t>
        </is>
      </c>
      <c r="E154" s="232" t="inlineStr">
        <is>
          <t>N</t>
        </is>
      </c>
      <c r="F154" s="232" t="inlineStr">
        <is>
          <t>N</t>
        </is>
      </c>
      <c r="G154" s="232" t="inlineStr">
        <is>
          <t>Y</t>
        </is>
      </c>
      <c r="H154" s="232" t="inlineStr">
        <is>
          <t>None</t>
        </is>
      </c>
      <c r="I154" s="232" t="inlineStr">
        <is>
          <t>N</t>
        </is>
      </c>
      <c r="J154" s="232" t="inlineStr">
        <is>
          <t>N</t>
        </is>
      </c>
      <c r="K154" s="232" t="inlineStr">
        <is>
          <t>N</t>
        </is>
      </c>
      <c r="L154" s="232" t="inlineStr">
        <is>
          <t>Y</t>
        </is>
      </c>
      <c r="M154" s="232" t="inlineStr">
        <is>
          <t>Standard</t>
        </is>
      </c>
      <c r="N154" s="232" t="n"/>
      <c r="O154" s="232" t="n"/>
      <c r="P154" s="232" t="inlineStr">
        <is>
          <t>Y</t>
        </is>
      </c>
      <c r="Q154" s="232" t="n"/>
      <c r="R154" s="232" t="n"/>
      <c r="S154" s="232" t="n"/>
      <c r="T154" s="233" t="inlineStr">
        <is>
          <t>N</t>
        </is>
      </c>
      <c r="U154" s="227">
        <f>IF($B154="","",IF(AND($G154="Y",ISERROR(SEARCH(TEXT('Control Center'!$B$3,"ddd"),TRIM($D154)))),"Y","N"))</f>
        <v/>
      </c>
      <c r="V154" s="227">
        <f>IF($B154="","",IF(AND($U154="Y",OR($C154="3:45 AM",$C154="5:45 AM"),OR('Control Center'!$B$4="N",$K154&lt;&gt;"Y")),"Y","N"))</f>
        <v/>
      </c>
      <c r="W154" s="227">
        <f>IF($B154="","",IF(AND($U154="Y",OR($C154="12:15 PM",$C154="2:00 PM"),OR('Control Center'!$B$5="N",$K154&lt;&gt;"Y")),"Y","N"))</f>
        <v/>
      </c>
      <c r="X154" s="228" t="n"/>
      <c r="Y154" s="229" t="n"/>
      <c r="Z154" s="228" t="n"/>
      <c r="AA154" s="229" t="n"/>
      <c r="AB154" s="230">
        <f>IF($B154="","",IF($P154="Y",IF($Y154="Y","Completed","In Progress"),""))</f>
        <v/>
      </c>
      <c r="AC154" s="119">
        <f>IF($B154="","",IF(COUNTIFS('Approved Absences'!$A$2:$A$200,$B154,'Approved Absences'!$B$2:$B$200,"&lt;="&amp;INT('Control Center'!$B$3),'Approved Absences'!$C$2:$C$200,"&gt;="&amp;INT('Control Center'!$B$3))&gt;0,"Y","N"))</f>
        <v/>
      </c>
      <c r="AD154" s="119">
        <f>IF($B154="","",IF(AND($G154="Y",$AC154&lt;&gt;"Y",ISERROR(SEARCH(TEXT('Control Center'!$B$3,"ddd"),TRIM($D154)))),"Y","N"))</f>
        <v/>
      </c>
      <c r="AE154" s="119">
        <f>IF(AND(AD154="Y",C154="3:45 AM",E154="N",K154&lt;&gt;"Y"),COUNTIFS($AD$2:AD154,"Y",$C$2:C154,"3:45 AM",$E$2:E154,"N",$K$2:K154,"&lt;&gt;Y"),"")</f>
        <v/>
      </c>
      <c r="AF154" s="119">
        <f>IF(AND(AD154="Y",C154="5:45 AM",E154="N",K154&lt;&gt;"Y"),COUNTIFS($AD$2:AD154,"Y",$C$2:C154,"5:45 AM",$E$2:E154,"N",$K$2:K154,"&lt;&gt;Y"),"")</f>
        <v/>
      </c>
      <c r="AG154" s="119">
        <f>IF(AND(AD154="Y",C154="3:45 AM",E154="N",L154="Y",K154&lt;&gt;"Y"),COUNTIFS($AD$2:AD154,"Y",$C$2:C154,"3:45 AM",$E$2:E154,"N",$L$2:L154,"Y",$K$2:K154,"&lt;&gt;Y"),"")</f>
        <v/>
      </c>
      <c r="AH154" s="119">
        <f>IF(AND(AD154="Y",C154="5:45 AM",E154="N",L154="Y",K154&lt;&gt;"Y"),COUNTIFS($AD$2:AD154,"Y",$C$2:C154,"5:45 AM",$E$2:E154,"N",$L$2:L154,"Y",$K$2:K154,"&lt;&gt;Y"),"")</f>
        <v/>
      </c>
      <c r="AI154" s="119">
        <f>IF(AND(AD154="Y",E154="N",K154="Y",OR(C154="3:45 AM",C154="5:45 AM")),SUMPRODUCT(($AD$2:AD154="Y")*($E$2:E154="N")*($K$2:K154="Y")*(($C$2:C154="3:45 AM")+($C$2:C154="5:45 AM"))), "")</f>
        <v/>
      </c>
      <c r="AJ154" s="119">
        <f>IF(AND(AD154="Y",C154="3:45 AM",E154="N",J154="Y"),COUNTIFS($AD$2:AD154,"Y",$C$2:C154,"3:45 AM",$E$2:E154,"N",$J$2:J154,"Y"),"")</f>
        <v/>
      </c>
      <c r="AK154" s="119">
        <f>IF(AND(AD154="Y",E154="N",I154="Y",OR(C154="3:45 AM",C154="5:45 AM")),SUMPRODUCT(($AD$2:AD154="Y")*($E$2:E154="N")*($I$2:I154="Y")*(($C$2:C154="3:45 AM")+($C$2:C154="5:45 AM"))), "")</f>
        <v/>
      </c>
      <c r="AL154" s="119">
        <f>IF(AND(AD154="Y",C154="12:15 PM",E154="N",K154&lt;&gt;"Y"),COUNTIFS($AD$2:AD154,"Y",$C$2:C154,"12:15 PM",$E$2:E154,"N",$K$2:K154,"&lt;&gt;Y"),"")</f>
        <v/>
      </c>
      <c r="AM154" s="119">
        <f>IF(AND(AD154="Y",C154="2:00 PM",E154="N",K154&lt;&gt;"Y"),COUNTIFS($AD$2:AD154,"Y",$C$2:C154,"2:00 PM",$E$2:E154,"N",$K$2:K154,"&lt;&gt;Y"),"")</f>
        <v/>
      </c>
      <c r="AN154" s="119">
        <f>IF(AND(AD154="Y",E154="N",K154="Y",OR(C154="12:15 PM",C154="2:00 PM")),SUMPRODUCT(($AD$2:AD154="Y")*($E$2:E154="N")*($K$2:K154="Y")*(($C$2:C154="12:15 PM")+($C$2:C154="2:00 PM"))), "")</f>
        <v/>
      </c>
      <c r="AO154" s="119">
        <f>IF(AND(AD154="Y",C154="12:15 PM",E154="N",L154="Y"),COUNTIFS($AD$2:AD154,"Y",$C$2:C154,"12:15 PM",$E$2:E154,"N",$L$2:L154,"Y"),"")</f>
        <v/>
      </c>
      <c r="AP154" s="119">
        <f>IF(AND(AD154="Y",C154="2:00 PM",E154="N",L154="Y"),COUNTIFS($AD$2:AD154,"Y",$C$2:C154,"2:00 PM",$E$2:E154,"N",$L$2:L154,"Y"),"")</f>
        <v/>
      </c>
    </row>
    <row r="155" ht="14.25" customHeight="1" s="120">
      <c r="A155" s="231" t="inlineStr">
        <is>
          <t>EMP-0162</t>
        </is>
      </c>
      <c r="B155" s="232" t="inlineStr">
        <is>
          <t>Bousso Dioum</t>
        </is>
      </c>
      <c r="C155" s="232" t="inlineStr">
        <is>
          <t>2:00 PM</t>
        </is>
      </c>
      <c r="D155" s="232" t="inlineStr">
        <is>
          <t>Wed, Thu</t>
        </is>
      </c>
      <c r="E155" s="232" t="inlineStr">
        <is>
          <t>N</t>
        </is>
      </c>
      <c r="F155" s="232" t="inlineStr">
        <is>
          <t>N</t>
        </is>
      </c>
      <c r="G155" s="232" t="inlineStr">
        <is>
          <t>Y</t>
        </is>
      </c>
      <c r="H155" s="232" t="inlineStr">
        <is>
          <t>None</t>
        </is>
      </c>
      <c r="I155" s="232" t="inlineStr">
        <is>
          <t>N</t>
        </is>
      </c>
      <c r="J155" s="232" t="inlineStr">
        <is>
          <t>N</t>
        </is>
      </c>
      <c r="K155" s="232" t="inlineStr">
        <is>
          <t>N</t>
        </is>
      </c>
      <c r="L155" s="232" t="inlineStr">
        <is>
          <t>Y</t>
        </is>
      </c>
      <c r="M155" s="232" t="inlineStr">
        <is>
          <t>Standard</t>
        </is>
      </c>
      <c r="N155" s="232" t="n"/>
      <c r="O155" s="232" t="n"/>
      <c r="P155" s="232" t="inlineStr">
        <is>
          <t>N</t>
        </is>
      </c>
      <c r="Q155" s="232" t="n"/>
      <c r="R155" s="232" t="n"/>
      <c r="S155" s="232" t="n"/>
      <c r="T155" s="233" t="inlineStr">
        <is>
          <t>N</t>
        </is>
      </c>
      <c r="U155" s="227">
        <f>IF($B155="","",IF(AND($G155="Y",ISERROR(SEARCH(TEXT('Control Center'!$B$3,"ddd"),TRIM($D155)))),"Y","N"))</f>
        <v/>
      </c>
      <c r="V155" s="227">
        <f>IF($B155="","",IF(AND($U155="Y",OR($C155="3:45 AM",$C155="5:45 AM"),OR('Control Center'!$B$4="N",$K155&lt;&gt;"Y")),"Y","N"))</f>
        <v/>
      </c>
      <c r="W155" s="227">
        <f>IF($B155="","",IF(AND($U155="Y",OR($C155="12:15 PM",$C155="2:00 PM"),OR('Control Center'!$B$5="N",$K155&lt;&gt;"Y")),"Y","N"))</f>
        <v/>
      </c>
      <c r="X155" s="228" t="n">
        <v>46221</v>
      </c>
      <c r="Y155" s="229" t="inlineStr">
        <is>
          <t>Y</t>
        </is>
      </c>
      <c r="Z155" s="228" t="n"/>
      <c r="AA155" s="229" t="n"/>
      <c r="AB155" s="230">
        <f>IF($B155="","",IF($P155="Y",IF($Y155="Y","Completed","In Progress"),""))</f>
        <v/>
      </c>
      <c r="AC155" s="119">
        <f>IF($B155="","",IF(COUNTIFS('Approved Absences'!$A$2:$A$200,$B155,'Approved Absences'!$B$2:$B$200,"&lt;="&amp;INT('Control Center'!$B$3),'Approved Absences'!$C$2:$C$200,"&gt;="&amp;INT('Control Center'!$B$3))&gt;0,"Y","N"))</f>
        <v/>
      </c>
      <c r="AD155" s="119">
        <f>IF($B155="","",IF(AND($G155="Y",$AC155&lt;&gt;"Y",ISERROR(SEARCH(TEXT('Control Center'!$B$3,"ddd"),TRIM($D155)))),"Y","N"))</f>
        <v/>
      </c>
      <c r="AE155" s="119">
        <f>IF(AND(AD155="Y",C155="3:45 AM",E155="N",K155&lt;&gt;"Y"),COUNTIFS($AD$2:AD155,"Y",$C$2:C155,"3:45 AM",$E$2:E155,"N",$K$2:K155,"&lt;&gt;Y"),"")</f>
        <v/>
      </c>
      <c r="AF155" s="119">
        <f>IF(AND(AD155="Y",C155="5:45 AM",E155="N",K155&lt;&gt;"Y"),COUNTIFS($AD$2:AD155,"Y",$C$2:C155,"5:45 AM",$E$2:E155,"N",$K$2:K155,"&lt;&gt;Y"),"")</f>
        <v/>
      </c>
      <c r="AG155" s="119">
        <f>IF(AND(AD155="Y",C155="3:45 AM",E155="N",L155="Y",K155&lt;&gt;"Y"),COUNTIFS($AD$2:AD155,"Y",$C$2:C155,"3:45 AM",$E$2:E155,"N",$L$2:L155,"Y",$K$2:K155,"&lt;&gt;Y"),"")</f>
        <v/>
      </c>
      <c r="AH155" s="119">
        <f>IF(AND(AD155="Y",C155="5:45 AM",E155="N",L155="Y",K155&lt;&gt;"Y"),COUNTIFS($AD$2:AD155,"Y",$C$2:C155,"5:45 AM",$E$2:E155,"N",$L$2:L155,"Y",$K$2:K155,"&lt;&gt;Y"),"")</f>
        <v/>
      </c>
      <c r="AI155" s="119">
        <f>IF(AND(AD155="Y",E155="N",K155="Y",OR(C155="3:45 AM",C155="5:45 AM")),SUMPRODUCT(($AD$2:AD155="Y")*($E$2:E155="N")*($K$2:K155="Y")*(($C$2:C155="3:45 AM")+($C$2:C155="5:45 AM"))), "")</f>
        <v/>
      </c>
      <c r="AJ155" s="119">
        <f>IF(AND(AD155="Y",C155="3:45 AM",E155="N",J155="Y"),COUNTIFS($AD$2:AD155,"Y",$C$2:C155,"3:45 AM",$E$2:E155,"N",$J$2:J155,"Y"),"")</f>
        <v/>
      </c>
      <c r="AK155" s="119">
        <f>IF(AND(AD155="Y",E155="N",I155="Y",OR(C155="3:45 AM",C155="5:45 AM")),SUMPRODUCT(($AD$2:AD155="Y")*($E$2:E155="N")*($I$2:I155="Y")*(($C$2:C155="3:45 AM")+($C$2:C155="5:45 AM"))), "")</f>
        <v/>
      </c>
      <c r="AL155" s="119">
        <f>IF(AND(AD155="Y",C155="12:15 PM",E155="N",K155&lt;&gt;"Y"),COUNTIFS($AD$2:AD155,"Y",$C$2:C155,"12:15 PM",$E$2:E155,"N",$K$2:K155,"&lt;&gt;Y"),"")</f>
        <v/>
      </c>
      <c r="AM155" s="119">
        <f>IF(AND(AD155="Y",C155="2:00 PM",E155="N",K155&lt;&gt;"Y"),COUNTIFS($AD$2:AD155,"Y",$C$2:C155,"2:00 PM",$E$2:E155,"N",$K$2:K155,"&lt;&gt;Y"),"")</f>
        <v/>
      </c>
      <c r="AN155" s="119">
        <f>IF(AND(AD155="Y",E155="N",K155="Y",OR(C155="12:15 PM",C155="2:00 PM")),SUMPRODUCT(($AD$2:AD155="Y")*($E$2:E155="N")*($K$2:K155="Y")*(($C$2:C155="12:15 PM")+($C$2:C155="2:00 PM"))), "")</f>
        <v/>
      </c>
      <c r="AO155" s="119">
        <f>IF(AND(AD155="Y",C155="12:15 PM",E155="N",L155="Y"),COUNTIFS($AD$2:AD155,"Y",$C$2:C155,"12:15 PM",$E$2:E155,"N",$L$2:L155,"Y"),"")</f>
        <v/>
      </c>
      <c r="AP155" s="119">
        <f>IF(AND(AD155="Y",C155="2:00 PM",E155="N",L155="Y"),COUNTIFS($AD$2:AD155,"Y",$C$2:C155,"2:00 PM",$E$2:E155,"N",$L$2:L155,"Y"),"")</f>
        <v/>
      </c>
    </row>
    <row r="156" ht="14.25" customHeight="1" s="120">
      <c r="A156" s="231" t="inlineStr">
        <is>
          <t>EMP-0163</t>
        </is>
      </c>
      <c r="B156" s="232" t="inlineStr">
        <is>
          <t>Malick Sy</t>
        </is>
      </c>
      <c r="C156" s="232" t="inlineStr">
        <is>
          <t>2:00 PM</t>
        </is>
      </c>
      <c r="D156" s="232" t="inlineStr">
        <is>
          <t>Sun, Mon</t>
        </is>
      </c>
      <c r="E156" s="232" t="inlineStr">
        <is>
          <t>N</t>
        </is>
      </c>
      <c r="F156" s="232" t="inlineStr">
        <is>
          <t>N</t>
        </is>
      </c>
      <c r="G156" s="232" t="inlineStr">
        <is>
          <t>Y</t>
        </is>
      </c>
      <c r="H156" s="232" t="inlineStr">
        <is>
          <t>None</t>
        </is>
      </c>
      <c r="I156" s="232" t="inlineStr">
        <is>
          <t>N</t>
        </is>
      </c>
      <c r="J156" s="232" t="inlineStr">
        <is>
          <t>N</t>
        </is>
      </c>
      <c r="K156" s="232" t="inlineStr">
        <is>
          <t>N</t>
        </is>
      </c>
      <c r="L156" s="232" t="inlineStr">
        <is>
          <t>Y</t>
        </is>
      </c>
      <c r="M156" s="232" t="inlineStr">
        <is>
          <t>Standard</t>
        </is>
      </c>
      <c r="N156" s="232" t="n"/>
      <c r="O156" s="232" t="n"/>
      <c r="P156" s="232" t="inlineStr">
        <is>
          <t>Y</t>
        </is>
      </c>
      <c r="Q156" s="232" t="n"/>
      <c r="R156" s="232" t="n"/>
      <c r="S156" s="232" t="n"/>
      <c r="T156" s="233" t="inlineStr">
        <is>
          <t>N</t>
        </is>
      </c>
      <c r="U156" s="227">
        <f>IF($B156="","",IF(AND($G156="Y",ISERROR(SEARCH(TEXT('Control Center'!$B$3,"ddd"),TRIM($D156)))),"Y","N"))</f>
        <v/>
      </c>
      <c r="V156" s="227">
        <f>IF($B156="","",IF(AND($U156="Y",OR($C156="3:45 AM",$C156="5:45 AM"),OR('Control Center'!$B$4="N",$K156&lt;&gt;"Y")),"Y","N"))</f>
        <v/>
      </c>
      <c r="W156" s="227">
        <f>IF($B156="","",IF(AND($U156="Y",OR($C156="12:15 PM",$C156="2:00 PM"),OR('Control Center'!$B$5="N",$K156&lt;&gt;"Y")),"Y","N"))</f>
        <v/>
      </c>
      <c r="X156" s="228" t="n"/>
      <c r="Y156" s="229" t="n"/>
      <c r="Z156" s="228" t="n"/>
      <c r="AA156" s="229" t="n"/>
      <c r="AB156" s="230">
        <f>IF($B156="","",IF($P156="Y",IF($Y156="Y","Completed","In Progress"),""))</f>
        <v/>
      </c>
      <c r="AC156" s="119">
        <f>IF($B156="","",IF(COUNTIFS('Approved Absences'!$A$2:$A$200,$B156,'Approved Absences'!$B$2:$B$200,"&lt;="&amp;INT('Control Center'!$B$3),'Approved Absences'!$C$2:$C$200,"&gt;="&amp;INT('Control Center'!$B$3))&gt;0,"Y","N"))</f>
        <v/>
      </c>
      <c r="AD156" s="119">
        <f>IF($B156="","",IF(AND($G156="Y",$AC156&lt;&gt;"Y",ISERROR(SEARCH(TEXT('Control Center'!$B$3,"ddd"),TRIM($D156)))),"Y","N"))</f>
        <v/>
      </c>
      <c r="AE156" s="119">
        <f>IF(AND(AD156="Y",C156="3:45 AM",E156="N",K156&lt;&gt;"Y"),COUNTIFS($AD$2:AD156,"Y",$C$2:C156,"3:45 AM",$E$2:E156,"N",$K$2:K156,"&lt;&gt;Y"),"")</f>
        <v/>
      </c>
      <c r="AF156" s="119">
        <f>IF(AND(AD156="Y",C156="5:45 AM",E156="N",K156&lt;&gt;"Y"),COUNTIFS($AD$2:AD156,"Y",$C$2:C156,"5:45 AM",$E$2:E156,"N",$K$2:K156,"&lt;&gt;Y"),"")</f>
        <v/>
      </c>
      <c r="AG156" s="119">
        <f>IF(AND(AD156="Y",C156="3:45 AM",E156="N",L156="Y",K156&lt;&gt;"Y"),COUNTIFS($AD$2:AD156,"Y",$C$2:C156,"3:45 AM",$E$2:E156,"N",$L$2:L156,"Y",$K$2:K156,"&lt;&gt;Y"),"")</f>
        <v/>
      </c>
      <c r="AH156" s="119">
        <f>IF(AND(AD156="Y",C156="5:45 AM",E156="N",L156="Y",K156&lt;&gt;"Y"),COUNTIFS($AD$2:AD156,"Y",$C$2:C156,"5:45 AM",$E$2:E156,"N",$L$2:L156,"Y",$K$2:K156,"&lt;&gt;Y"),"")</f>
        <v/>
      </c>
      <c r="AI156" s="119">
        <f>IF(AND(AD156="Y",E156="N",K156="Y",OR(C156="3:45 AM",C156="5:45 AM")),SUMPRODUCT(($AD$2:AD156="Y")*($E$2:E156="N")*($K$2:K156="Y")*(($C$2:C156="3:45 AM")+($C$2:C156="5:45 AM"))), "")</f>
        <v/>
      </c>
      <c r="AJ156" s="119">
        <f>IF(AND(AD156="Y",C156="3:45 AM",E156="N",J156="Y"),COUNTIFS($AD$2:AD156,"Y",$C$2:C156,"3:45 AM",$E$2:E156,"N",$J$2:J156,"Y"),"")</f>
        <v/>
      </c>
      <c r="AK156" s="119">
        <f>IF(AND(AD156="Y",E156="N",I156="Y",OR(C156="3:45 AM",C156="5:45 AM")),SUMPRODUCT(($AD$2:AD156="Y")*($E$2:E156="N")*($I$2:I156="Y")*(($C$2:C156="3:45 AM")+($C$2:C156="5:45 AM"))), "")</f>
        <v/>
      </c>
      <c r="AL156" s="119">
        <f>IF(AND(AD156="Y",C156="12:15 PM",E156="N",K156&lt;&gt;"Y"),COUNTIFS($AD$2:AD156,"Y",$C$2:C156,"12:15 PM",$E$2:E156,"N",$K$2:K156,"&lt;&gt;Y"),"")</f>
        <v/>
      </c>
      <c r="AM156" s="119">
        <f>IF(AND(AD156="Y",C156="2:00 PM",E156="N",K156&lt;&gt;"Y"),COUNTIFS($AD$2:AD156,"Y",$C$2:C156,"2:00 PM",$E$2:E156,"N",$K$2:K156,"&lt;&gt;Y"),"")</f>
        <v/>
      </c>
      <c r="AN156" s="119">
        <f>IF(AND(AD156="Y",E156="N",K156="Y",OR(C156="12:15 PM",C156="2:00 PM")),SUMPRODUCT(($AD$2:AD156="Y")*($E$2:E156="N")*($K$2:K156="Y")*(($C$2:C156="12:15 PM")+($C$2:C156="2:00 PM"))), "")</f>
        <v/>
      </c>
      <c r="AO156" s="119">
        <f>IF(AND(AD156="Y",C156="12:15 PM",E156="N",L156="Y"),COUNTIFS($AD$2:AD156,"Y",$C$2:C156,"12:15 PM",$E$2:E156,"N",$L$2:L156,"Y"),"")</f>
        <v/>
      </c>
      <c r="AP156" s="119">
        <f>IF(AND(AD156="Y",C156="2:00 PM",E156="N",L156="Y"),COUNTIFS($AD$2:AD156,"Y",$C$2:C156,"2:00 PM",$E$2:E156,"N",$L$2:L156,"Y"),"")</f>
        <v/>
      </c>
    </row>
    <row r="157" ht="14.25" customHeight="1" s="120">
      <c r="A157" s="235" t="inlineStr">
        <is>
          <t>EMP-0164</t>
        </is>
      </c>
      <c r="B157" s="236" t="inlineStr">
        <is>
          <t>Jordan Gilley</t>
        </is>
      </c>
      <c r="C157" s="236" t="inlineStr">
        <is>
          <t>2:00 PM</t>
        </is>
      </c>
      <c r="D157" s="236" t="inlineStr">
        <is>
          <t>Tue, Wed</t>
        </is>
      </c>
      <c r="E157" s="236" t="inlineStr">
        <is>
          <t>N</t>
        </is>
      </c>
      <c r="F157" s="236" t="inlineStr">
        <is>
          <t>N</t>
        </is>
      </c>
      <c r="G157" s="236" t="inlineStr">
        <is>
          <t>Y</t>
        </is>
      </c>
      <c r="H157" s="236" t="inlineStr">
        <is>
          <t>None</t>
        </is>
      </c>
      <c r="I157" s="236" t="inlineStr">
        <is>
          <t>N</t>
        </is>
      </c>
      <c r="J157" s="236" t="inlineStr">
        <is>
          <t>N</t>
        </is>
      </c>
      <c r="K157" s="236" t="inlineStr">
        <is>
          <t>N</t>
        </is>
      </c>
      <c r="L157" s="236" t="inlineStr">
        <is>
          <t>Y</t>
        </is>
      </c>
      <c r="M157" s="236" t="inlineStr">
        <is>
          <t>Standard</t>
        </is>
      </c>
      <c r="N157" s="236" t="n"/>
      <c r="O157" s="236" t="n"/>
      <c r="P157" s="236" t="inlineStr">
        <is>
          <t>N</t>
        </is>
      </c>
      <c r="Q157" s="236" t="n"/>
      <c r="R157" s="236" t="n"/>
      <c r="S157" s="236" t="n"/>
      <c r="T157" s="237" t="inlineStr">
        <is>
          <t>N</t>
        </is>
      </c>
      <c r="U157" s="227">
        <f>IF($B157="","",IF(AND($G157="Y",ISERROR(SEARCH(TEXT('Control Center'!$B$3,"ddd"),TRIM($D157)))),"Y","N"))</f>
        <v/>
      </c>
      <c r="V157" s="227">
        <f>IF($B157="","",IF(AND($U157="Y",OR($C157="3:45 AM",$C157="5:45 AM"),OR('Control Center'!$B$4="N",$K157&lt;&gt;"Y")),"Y","N"))</f>
        <v/>
      </c>
      <c r="W157" s="227">
        <f>IF($B157="","",IF(AND($U157="Y",OR($C157="12:15 PM",$C157="2:00 PM"),OR('Control Center'!$B$5="N",$K157&lt;&gt;"Y")),"Y","N"))</f>
        <v/>
      </c>
      <c r="X157" s="228" t="n">
        <v>46221</v>
      </c>
      <c r="Y157" s="229" t="inlineStr">
        <is>
          <t>Y</t>
        </is>
      </c>
      <c r="Z157" s="228" t="n"/>
      <c r="AA157" s="229" t="n"/>
      <c r="AB157" s="230">
        <f>IF($B157="","",IF($P157="Y",IF($Y157="Y","Completed","In Progress"),""))</f>
        <v/>
      </c>
      <c r="AC157" s="119">
        <f>IF($B157="","",IF(COUNTIFS('Approved Absences'!$A$2:$A$200,$B157,'Approved Absences'!$B$2:$B$200,"&lt;="&amp;INT('Control Center'!$B$3),'Approved Absences'!$C$2:$C$200,"&gt;="&amp;INT('Control Center'!$B$3))&gt;0,"Y","N"))</f>
        <v/>
      </c>
      <c r="AD157" s="119">
        <f>IF($B157="","",IF(AND($G157="Y",$AC157&lt;&gt;"Y",ISERROR(SEARCH(TEXT('Control Center'!$B$3,"ddd"),TRIM($D157)))),"Y","N"))</f>
        <v/>
      </c>
      <c r="AE157" s="119">
        <f>IF(AND(AD157="Y",C157="3:45 AM",E157="N",K157&lt;&gt;"Y"),COUNTIFS($AD$2:AD157,"Y",$C$2:C157,"3:45 AM",$E$2:E157,"N",$K$2:K157,"&lt;&gt;Y"),"")</f>
        <v/>
      </c>
      <c r="AF157" s="119">
        <f>IF(AND(AD157="Y",C157="5:45 AM",E157="N",K157&lt;&gt;"Y"),COUNTIFS($AD$2:AD157,"Y",$C$2:C157,"5:45 AM",$E$2:E157,"N",$K$2:K157,"&lt;&gt;Y"),"")</f>
        <v/>
      </c>
      <c r="AG157" s="119">
        <f>IF(AND(AD157="Y",C157="3:45 AM",E157="N",L157="Y",K157&lt;&gt;"Y"),COUNTIFS($AD$2:AD157,"Y",$C$2:C157,"3:45 AM",$E$2:E157,"N",$L$2:L157,"Y",$K$2:K157,"&lt;&gt;Y"),"")</f>
        <v/>
      </c>
      <c r="AH157" s="119">
        <f>IF(AND(AD157="Y",C157="5:45 AM",E157="N",L157="Y",K157&lt;&gt;"Y"),COUNTIFS($AD$2:AD157,"Y",$C$2:C157,"5:45 AM",$E$2:E157,"N",$L$2:L157,"Y",$K$2:K157,"&lt;&gt;Y"),"")</f>
        <v/>
      </c>
      <c r="AI157" s="119">
        <f>IF(AND(AD157="Y",E157="N",K157="Y",OR(C157="3:45 AM",C157="5:45 AM")),SUMPRODUCT(($AD$2:AD157="Y")*($E$2:E157="N")*($K$2:K157="Y")*(($C$2:C157="3:45 AM")+($C$2:C157="5:45 AM"))), "")</f>
        <v/>
      </c>
      <c r="AJ157" s="119">
        <f>IF(AND(AD157="Y",C157="3:45 AM",E157="N",J157="Y"),COUNTIFS($AD$2:AD157,"Y",$C$2:C157,"3:45 AM",$E$2:E157,"N",$J$2:J157,"Y"),"")</f>
        <v/>
      </c>
      <c r="AK157" s="119">
        <f>IF(AND(AD157="Y",E157="N",I157="Y",OR(C157="3:45 AM",C157="5:45 AM")),SUMPRODUCT(($AD$2:AD157="Y")*($E$2:E157="N")*($I$2:I157="Y")*(($C$2:C157="3:45 AM")+($C$2:C157="5:45 AM"))), "")</f>
        <v/>
      </c>
      <c r="AL157" s="119">
        <f>IF(AND(AD157="Y",C157="12:15 PM",E157="N",K157&lt;&gt;"Y"),COUNTIFS($AD$2:AD157,"Y",$C$2:C157,"12:15 PM",$E$2:E157,"N",$K$2:K157,"&lt;&gt;Y"),"")</f>
        <v/>
      </c>
      <c r="AM157" s="119">
        <f>IF(AND(AD157="Y",C157="2:00 PM",E157="N",K157&lt;&gt;"Y"),COUNTIFS($AD$2:AD157,"Y",$C$2:C157,"2:00 PM",$E$2:E157,"N",$K$2:K157,"&lt;&gt;Y"),"")</f>
        <v/>
      </c>
      <c r="AN157" s="119">
        <f>IF(AND(AD157="Y",E157="N",K157="Y",OR(C157="12:15 PM",C157="2:00 PM")),SUMPRODUCT(($AD$2:AD157="Y")*($E$2:E157="N")*($K$2:K157="Y")*(($C$2:C157="12:15 PM")+($C$2:C157="2:00 PM"))), "")</f>
        <v/>
      </c>
      <c r="AO157" s="119">
        <f>IF(AND(AD157="Y",C157="12:15 PM",E157="N",L157="Y"),COUNTIFS($AD$2:AD157,"Y",$C$2:C157,"12:15 PM",$E$2:E157,"N",$L$2:L157,"Y"),"")</f>
        <v/>
      </c>
      <c r="AP157" s="119">
        <f>IF(AND(AD157="Y",C157="2:00 PM",E157="N",L157="Y"),COUNTIFS($AD$2:AD157,"Y",$C$2:C157,"2:00 PM",$E$2:E157,"N",$L$2:L157,"Y"),"")</f>
        <v/>
      </c>
    </row>
    <row r="158" ht="14.25" customHeight="1" s="120">
      <c r="A158" s="235" t="inlineStr">
        <is>
          <t>EMP-0165</t>
        </is>
      </c>
      <c r="B158" s="238" t="inlineStr">
        <is>
          <t>Lashawn Jones</t>
        </is>
      </c>
      <c r="C158" s="239" t="inlineStr">
        <is>
          <t>5:45 AM</t>
        </is>
      </c>
      <c r="D158" s="238" t="inlineStr">
        <is>
          <t>Wed, Thu</t>
        </is>
      </c>
      <c r="E158" s="238" t="inlineStr">
        <is>
          <t>N</t>
        </is>
      </c>
      <c r="F158" s="238" t="inlineStr">
        <is>
          <t>N</t>
        </is>
      </c>
      <c r="G158" s="238" t="inlineStr">
        <is>
          <t>Y</t>
        </is>
      </c>
      <c r="H158" s="238" t="inlineStr">
        <is>
          <t>None</t>
        </is>
      </c>
      <c r="I158" s="238" t="inlineStr">
        <is>
          <t>N</t>
        </is>
      </c>
      <c r="J158" s="238" t="inlineStr">
        <is>
          <t>Y</t>
        </is>
      </c>
      <c r="K158" s="238" t="inlineStr">
        <is>
          <t>N</t>
        </is>
      </c>
      <c r="L158" s="238" t="inlineStr">
        <is>
          <t>Y</t>
        </is>
      </c>
      <c r="M158" s="238" t="inlineStr">
        <is>
          <t>Standard</t>
        </is>
      </c>
      <c r="N158" s="238" t="n"/>
      <c r="O158" s="238" t="n"/>
      <c r="P158" s="238" t="inlineStr">
        <is>
          <t>N</t>
        </is>
      </c>
      <c r="Q158" s="238" t="n"/>
      <c r="R158" s="238" t="n"/>
      <c r="S158" s="238" t="n"/>
      <c r="T158" s="238" t="n"/>
      <c r="U158" s="227">
        <f>IF($B158="","",IF(AND($G158="Y",ISERROR(SEARCH(TEXT('Control Center'!$B$3,"ddd"),TRIM($D158)))),"Y","N"))</f>
        <v/>
      </c>
      <c r="V158" s="227">
        <f>IF($B158="","",IF(AND($U158="Y",OR($C158="3:45 AM",$C158="5:45 AM"),OR('Control Center'!$B$4="N",$K158&lt;&gt;"Y")),"Y","N"))</f>
        <v/>
      </c>
      <c r="W158" s="227">
        <f>IF($B158="","",IF(AND($U158="Y",OR($C158="12:15 PM",$C158="2:00 PM"),OR('Control Center'!$B$5="N",$K158&lt;&gt;"Y")),"Y","N"))</f>
        <v/>
      </c>
      <c r="X158" s="228" t="n"/>
      <c r="Y158" s="229" t="n"/>
      <c r="Z158" s="228" t="n"/>
      <c r="AA158" s="229" t="n"/>
      <c r="AB158" s="230">
        <f>IF($B158="","",IF($P158="Y",IF($Y158="Y","Completed","In Progress"),""))</f>
        <v/>
      </c>
      <c r="AC158" s="119">
        <f>IF($B158="","",IF(COUNTIFS('Approved Absences'!$A$2:$A$200,$B158,'Approved Absences'!$B$2:$B$200,"&lt;="&amp;INT('Control Center'!$B$3),'Approved Absences'!$C$2:$C$200,"&gt;="&amp;INT('Control Center'!$B$3))&gt;0,"Y","N"))</f>
        <v/>
      </c>
      <c r="AD158" s="119">
        <f>IF($B158="","",IF(AND($G158="Y",$AC158&lt;&gt;"Y",ISERROR(SEARCH(TEXT('Control Center'!$B$3,"ddd"),TRIM($D158)))),"Y","N"))</f>
        <v/>
      </c>
      <c r="AE158" s="119">
        <f>IF(AND(AD158="Y",C158="3:45 AM",E158="N",K158&lt;&gt;"Y"),COUNTIFS($AD$2:AD158,"Y",$C$2:C158,"3:45 AM",$E$2:E158,"N",$K$2:K158,"&lt;&gt;Y"),"")</f>
        <v/>
      </c>
      <c r="AF158" s="119">
        <f>IF(AND(AD158="Y",C158="5:45 AM",E158="N",K158&lt;&gt;"Y"),COUNTIFS($AD$2:AD158,"Y",$C$2:C158,"5:45 AM",$E$2:E158,"N",$K$2:K158,"&lt;&gt;Y"),"")</f>
        <v/>
      </c>
      <c r="AG158" s="119">
        <f>IF(AND(AD158="Y",C158="3:45 AM",E158="N",L158="Y",K158&lt;&gt;"Y"),COUNTIFS($AD$2:AD158,"Y",$C$2:C158,"3:45 AM",$E$2:E158,"N",$L$2:L158,"Y",$K$2:K158,"&lt;&gt;Y"),"")</f>
        <v/>
      </c>
      <c r="AH158" s="119">
        <f>IF(AND(AD158="Y",C158="5:45 AM",E158="N",L158="Y",K158&lt;&gt;"Y"),COUNTIFS($AD$2:AD158,"Y",$C$2:C158,"5:45 AM",$E$2:E158,"N",$L$2:L158,"Y",$K$2:K158,"&lt;&gt;Y"),"")</f>
        <v/>
      </c>
      <c r="AI158" s="119">
        <f>IF(AND(AD158="Y",E158="N",K158="Y",OR(C158="3:45 AM",C158="5:45 AM")),SUMPRODUCT(($AD$2:AD158="Y")*($E$2:E158="N")*($K$2:K158="Y")*(($C$2:C158="3:45 AM")+($C$2:C158="5:45 AM"))), "")</f>
        <v/>
      </c>
      <c r="AJ158" s="119">
        <f>IF(AND(AD158="Y",C158="3:45 AM",E158="N",J158="Y"),COUNTIFS($AD$2:AD158,"Y",$C$2:C158,"3:45 AM",$E$2:E158,"N",$J$2:J158,"Y"),"")</f>
        <v/>
      </c>
      <c r="AK158" s="119">
        <f>IF(AND(AD158="Y",E158="N",I158="Y",OR(C158="3:45 AM",C158="5:45 AM")),SUMPRODUCT(($AD$2:AD158="Y")*($E$2:E158="N")*($I$2:I158="Y")*(($C$2:C158="3:45 AM")+($C$2:C158="5:45 AM"))), "")</f>
        <v/>
      </c>
      <c r="AL158" s="119">
        <f>IF(AND(AD158="Y",C158="12:15 PM",E158="N",K158&lt;&gt;"Y"),COUNTIFS($AD$2:AD158,"Y",$C$2:C158,"12:15 PM",$E$2:E158,"N",$K$2:K158,"&lt;&gt;Y"),"")</f>
        <v/>
      </c>
      <c r="AM158" s="119">
        <f>IF(AND(AD158="Y",C158="2:00 PM",E158="N",K158&lt;&gt;"Y"),COUNTIFS($AD$2:AD158,"Y",$C$2:C158,"2:00 PM",$E$2:E158,"N",$K$2:K158,"&lt;&gt;Y"),"")</f>
        <v/>
      </c>
      <c r="AN158" s="119">
        <f>IF(AND(AD158="Y",E158="N",K158="Y",OR(C158="12:15 PM",C158="2:00 PM")),SUMPRODUCT(($AD$2:AD158="Y")*($E$2:E158="N")*($K$2:K158="Y")*(($C$2:C158="12:15 PM")+($C$2:C158="2:00 PM"))), "")</f>
        <v/>
      </c>
      <c r="AO158" s="119">
        <f>IF(AND(AD158="Y",C158="12:15 PM",E158="N",L158="Y"),COUNTIFS($AD$2:AD158,"Y",$C$2:C158,"12:15 PM",$E$2:E158,"N",$L$2:L158,"Y"),"")</f>
        <v/>
      </c>
      <c r="AP158" s="119">
        <f>IF(AND(AD158="Y",C158="2:00 PM",E158="N",L158="Y"),COUNTIFS($AD$2:AD158,"Y",$C$2:C158,"2:00 PM",$E$2:E158,"N",$L$2:L158,"Y"),"")</f>
        <v/>
      </c>
    </row>
    <row r="159" ht="14.25" customHeight="1" s="120">
      <c r="A159" s="235" t="inlineStr">
        <is>
          <t>EMP-0166</t>
        </is>
      </c>
      <c r="B159" s="238" t="inlineStr">
        <is>
          <t>George Whitehead</t>
        </is>
      </c>
      <c r="C159" s="239" t="inlineStr">
        <is>
          <t>5:45 AM</t>
        </is>
      </c>
      <c r="D159" s="238" t="inlineStr">
        <is>
          <t>Sat, Sun</t>
        </is>
      </c>
      <c r="E159" s="238" t="inlineStr">
        <is>
          <t>N</t>
        </is>
      </c>
      <c r="F159" s="238" t="inlineStr">
        <is>
          <t>N</t>
        </is>
      </c>
      <c r="G159" s="238" t="inlineStr">
        <is>
          <t>Y</t>
        </is>
      </c>
      <c r="H159" s="238" t="inlineStr">
        <is>
          <t>None</t>
        </is>
      </c>
      <c r="I159" s="238" t="inlineStr">
        <is>
          <t>N</t>
        </is>
      </c>
      <c r="J159" s="238" t="inlineStr">
        <is>
          <t>Y</t>
        </is>
      </c>
      <c r="K159" s="238" t="inlineStr">
        <is>
          <t>N</t>
        </is>
      </c>
      <c r="L159" s="238" t="inlineStr">
        <is>
          <t>Y</t>
        </is>
      </c>
      <c r="M159" s="238" t="inlineStr">
        <is>
          <t>Standard</t>
        </is>
      </c>
      <c r="N159" s="238" t="n"/>
      <c r="O159" s="238" t="n"/>
      <c r="P159" s="238" t="inlineStr">
        <is>
          <t>N</t>
        </is>
      </c>
      <c r="Q159" s="238" t="n"/>
      <c r="R159" s="238" t="n"/>
      <c r="S159" s="238" t="n"/>
      <c r="T159" s="238" t="n"/>
      <c r="U159" s="227">
        <f>IF($B159="","",IF(AND($G159="Y",ISERROR(SEARCH(TEXT('Control Center'!$B$3,"ddd"),TRIM($D159)))),"Y","N"))</f>
        <v/>
      </c>
      <c r="V159" s="227">
        <f>IF($B159="","",IF(AND($U159="Y",OR($C159="3:45 AM",$C159="5:45 AM"),OR('Control Center'!$B$4="N",$K159&lt;&gt;"Y")),"Y","N"))</f>
        <v/>
      </c>
      <c r="W159" s="227">
        <f>IF($B159="","",IF(AND($U159="Y",OR($C159="12:15 PM",$C159="2:00 PM"),OR('Control Center'!$B$5="N",$K159&lt;&gt;"Y")),"Y","N"))</f>
        <v/>
      </c>
      <c r="X159" s="228" t="n"/>
      <c r="Y159" s="229" t="n"/>
      <c r="Z159" s="228" t="n"/>
      <c r="AA159" s="229" t="n"/>
      <c r="AB159" s="230">
        <f>IF($B159="","",IF($P159="Y",IF($Y159="Y","Completed","In Progress"),""))</f>
        <v/>
      </c>
      <c r="AC159" s="119">
        <f>IF($B159="","",IF(COUNTIFS('Approved Absences'!$A$2:$A$200,$B159,'Approved Absences'!$B$2:$B$200,"&lt;="&amp;INT('Control Center'!$B$3),'Approved Absences'!$C$2:$C$200,"&gt;="&amp;INT('Control Center'!$B$3))&gt;0,"Y","N"))</f>
        <v/>
      </c>
      <c r="AD159" s="119">
        <f>IF($B159="","",IF(AND($G159="Y",$AC159&lt;&gt;"Y",ISERROR(SEARCH(TEXT('Control Center'!$B$3,"ddd"),TRIM($D159)))),"Y","N"))</f>
        <v/>
      </c>
      <c r="AE159" s="119">
        <f>IF(AND(AD159="Y",C159="3:45 AM",E159="N",K159&lt;&gt;"Y"),COUNTIFS($AD$2:AD159,"Y",$C$2:C159,"3:45 AM",$E$2:E159,"N",$K$2:K159,"&lt;&gt;Y"),"")</f>
        <v/>
      </c>
      <c r="AF159" s="119">
        <f>IF(AND(AD159="Y",C159="5:45 AM",E159="N",K159&lt;&gt;"Y"),COUNTIFS($AD$2:AD159,"Y",$C$2:C159,"5:45 AM",$E$2:E159,"N",$K$2:K159,"&lt;&gt;Y"),"")</f>
        <v/>
      </c>
      <c r="AG159" s="119">
        <f>IF(AND(AD159="Y",C159="3:45 AM",E159="N",L159="Y",K159&lt;&gt;"Y"),COUNTIFS($AD$2:AD159,"Y",$C$2:C159,"3:45 AM",$E$2:E159,"N",$L$2:L159,"Y",$K$2:K159,"&lt;&gt;Y"),"")</f>
        <v/>
      </c>
      <c r="AH159" s="119">
        <f>IF(AND(AD159="Y",C159="5:45 AM",E159="N",L159="Y",K159&lt;&gt;"Y"),COUNTIFS($AD$2:AD159,"Y",$C$2:C159,"5:45 AM",$E$2:E159,"N",$L$2:L159,"Y",$K$2:K159,"&lt;&gt;Y"),"")</f>
        <v/>
      </c>
      <c r="AI159" s="119">
        <f>IF(AND(AD159="Y",E159="N",K159="Y",OR(C159="3:45 AM",C159="5:45 AM")),SUMPRODUCT(($AD$2:AD159="Y")*($E$2:E159="N")*($K$2:K159="Y")*(($C$2:C159="3:45 AM")+($C$2:C159="5:45 AM"))), "")</f>
        <v/>
      </c>
      <c r="AJ159" s="119">
        <f>IF(AND(AD159="Y",C159="3:45 AM",E159="N",J159="Y"),COUNTIFS($AD$2:AD159,"Y",$C$2:C159,"3:45 AM",$E$2:E159,"N",$J$2:J159,"Y"),"")</f>
        <v/>
      </c>
      <c r="AK159" s="119">
        <f>IF(AND(AD159="Y",E159="N",I159="Y",OR(C159="3:45 AM",C159="5:45 AM")),SUMPRODUCT(($AD$2:AD159="Y")*($E$2:E159="N")*($I$2:I159="Y")*(($C$2:C159="3:45 AM")+($C$2:C159="5:45 AM"))), "")</f>
        <v/>
      </c>
      <c r="AL159" s="119">
        <f>IF(AND(AD159="Y",C159="12:15 PM",E159="N",K159&lt;&gt;"Y"),COUNTIFS($AD$2:AD159,"Y",$C$2:C159,"12:15 PM",$E$2:E159,"N",$K$2:K159,"&lt;&gt;Y"),"")</f>
        <v/>
      </c>
      <c r="AM159" s="119">
        <f>IF(AND(AD159="Y",C159="2:00 PM",E159="N",K159&lt;&gt;"Y"),COUNTIFS($AD$2:AD159,"Y",$C$2:C159,"2:00 PM",$E$2:E159,"N",$K$2:K159,"&lt;&gt;Y"),"")</f>
        <v/>
      </c>
      <c r="AN159" s="119">
        <f>IF(AND(AD159="Y",E159="N",K159="Y",OR(C159="12:15 PM",C159="2:00 PM")),SUMPRODUCT(($AD$2:AD159="Y")*($E$2:E159="N")*($K$2:K159="Y")*(($C$2:C159="12:15 PM")+($C$2:C159="2:00 PM"))), "")</f>
        <v/>
      </c>
      <c r="AO159" s="119">
        <f>IF(AND(AD159="Y",C159="12:15 PM",E159="N",L159="Y"),COUNTIFS($AD$2:AD159,"Y",$C$2:C159,"12:15 PM",$E$2:E159,"N",$L$2:L159,"Y"),"")</f>
        <v/>
      </c>
      <c r="AP159" s="119">
        <f>IF(AND(AD159="Y",C159="2:00 PM",E159="N",L159="Y"),COUNTIFS($AD$2:AD159,"Y",$C$2:C159,"2:00 PM",$E$2:E159,"N",$L$2:L159,"Y"),"")</f>
        <v/>
      </c>
    </row>
    <row r="160" ht="14.25" customHeight="1" s="120">
      <c r="A160" s="238" t="n"/>
      <c r="B160" s="238" t="n"/>
      <c r="C160" s="239" t="n"/>
      <c r="D160" s="238" t="n"/>
      <c r="E160" s="238" t="n"/>
      <c r="F160" s="238" t="n"/>
      <c r="G160" s="238" t="n"/>
      <c r="H160" s="238" t="n"/>
      <c r="I160" s="238" t="n"/>
      <c r="J160" s="238" t="n"/>
      <c r="K160" s="238" t="n"/>
      <c r="L160" s="238" t="n"/>
      <c r="M160" s="238" t="n"/>
      <c r="N160" s="238" t="n"/>
      <c r="O160" s="238" t="n"/>
      <c r="P160" s="238" t="n"/>
      <c r="Q160" s="238" t="n"/>
      <c r="R160" s="238" t="n"/>
      <c r="S160" s="238" t="n"/>
      <c r="T160" s="238" t="n"/>
      <c r="U160" s="227">
        <f>IF($B160="","",IF(AND($G160="Y",ISERROR(SEARCH(TEXT('Control Center'!$B$3,"ddd"),TRIM($D160)))),"Y","N"))</f>
        <v/>
      </c>
      <c r="V160" s="227">
        <f>IF($B160="","",IF(AND($U160="Y",OR($C160="3:45 AM",$C160="5:45 AM"),OR('Control Center'!$B$4="N",$K160&lt;&gt;"Y")),"Y","N"))</f>
        <v/>
      </c>
      <c r="W160" s="227">
        <f>IF($B160="","",IF(AND($U160="Y",OR($C160="12:15 PM",$C160="2:00 PM"),OR('Control Center'!$B$5="N",$K160&lt;&gt;"Y")),"Y","N"))</f>
        <v/>
      </c>
      <c r="X160" s="228" t="n"/>
      <c r="Y160" s="229" t="n"/>
      <c r="Z160" s="228" t="n"/>
      <c r="AA160" s="229" t="n"/>
      <c r="AB160" s="230">
        <f>IF($B160="","",IF($P160="Y",IF($Y160="Y","Completed","In Progress"),""))</f>
        <v/>
      </c>
      <c r="AC160" s="119">
        <f>IF($B160="","",IF(COUNTIFS('Approved Absences'!$A$2:$A$200,$B160,'Approved Absences'!$B$2:$B$200,"&lt;="&amp;INT('Control Center'!$B$3),'Approved Absences'!$C$2:$C$200,"&gt;="&amp;INT('Control Center'!$B$3))&gt;0,"Y","N"))</f>
        <v/>
      </c>
      <c r="AD160" s="119">
        <f>IF($B160="","",IF(AND($G160="Y",$AC160&lt;&gt;"Y",ISERROR(SEARCH(TEXT('Control Center'!$B$3,"ddd"),TRIM($D160)))),"Y","N"))</f>
        <v/>
      </c>
    </row>
    <row r="161" ht="14.25" customHeight="1" s="120">
      <c r="U161" s="227">
        <f>IF($B161="","",IF(AND($G161="Y",ISERROR(SEARCH(TEXT('Control Center'!$B$3,"ddd"),TRIM($D161)))),"Y","N"))</f>
        <v/>
      </c>
      <c r="V161" s="227">
        <f>IF($B161="","",IF(AND($U161="Y",OR($C161="3:45 AM",$C161="5:45 AM"),OR('Control Center'!$B$4="N",$K161&lt;&gt;"Y")),"Y","N"))</f>
        <v/>
      </c>
      <c r="W161" s="227">
        <f>IF($B161="","",IF(AND($U161="Y",OR($C161="12:15 PM",$C161="2:00 PM"),OR('Control Center'!$B$5="N",$K161&lt;&gt;"Y")),"Y","N"))</f>
        <v/>
      </c>
      <c r="X161" s="228" t="n"/>
      <c r="Y161" s="229" t="n"/>
      <c r="Z161" s="228" t="n"/>
      <c r="AA161" s="229" t="n"/>
      <c r="AB161" s="230">
        <f>IF($B161="","",IF($P161="Y",IF($Y161="Y","Completed","In Progress"),""))</f>
        <v/>
      </c>
      <c r="AC161" s="119">
        <f>IF($B161="","",IF(COUNTIFS('Approved Absences'!$A$2:$A$200,$B161,'Approved Absences'!$B$2:$B$200,"&lt;="&amp;INT('Control Center'!$B$3),'Approved Absences'!$C$2:$C$200,"&gt;="&amp;INT('Control Center'!$B$3))&gt;0,"Y","N"))</f>
        <v/>
      </c>
      <c r="AD161" s="119">
        <f>IF($B161="","",IF(AND($G161="Y",$AC161&lt;&gt;"Y",ISERROR(SEARCH(TEXT('Control Center'!$B$3,"ddd"),TRIM($D161)))),"Y","N"))</f>
        <v/>
      </c>
    </row>
    <row r="162" ht="14.25" customHeight="1" s="120">
      <c r="U162" s="227">
        <f>IF($B162="","",IF(AND($G162="Y",ISERROR(SEARCH(TEXT('Control Center'!$B$3,"ddd"),TRIM($D162)))),"Y","N"))</f>
        <v/>
      </c>
      <c r="V162" s="227">
        <f>IF($B162="","",IF(AND($U162="Y",OR($C162="3:45 AM",$C162="5:45 AM"),OR('Control Center'!$B$4="N",$K162&lt;&gt;"Y")),"Y","N"))</f>
        <v/>
      </c>
      <c r="W162" s="227">
        <f>IF($B162="","",IF(AND($U162="Y",OR($C162="12:15 PM",$C162="2:00 PM"),OR('Control Center'!$B$5="N",$K162&lt;&gt;"Y")),"Y","N"))</f>
        <v/>
      </c>
      <c r="X162" s="228" t="n"/>
      <c r="Y162" s="229" t="n"/>
      <c r="Z162" s="228" t="n"/>
      <c r="AA162" s="229" t="n"/>
      <c r="AB162" s="230">
        <f>IF($B162="","",IF($P162="Y",IF($Y162="Y","Completed","In Progress"),""))</f>
        <v/>
      </c>
      <c r="AC162" s="119">
        <f>IF($B162="","",IF(COUNTIFS('Approved Absences'!$A$2:$A$200,$B162,'Approved Absences'!$B$2:$B$200,"&lt;="&amp;INT('Control Center'!$B$3),'Approved Absences'!$C$2:$C$200,"&gt;="&amp;INT('Control Center'!$B$3))&gt;0,"Y","N"))</f>
        <v/>
      </c>
      <c r="AD162" s="119">
        <f>IF($B162="","",IF(AND($G162="Y",$AC162&lt;&gt;"Y",ISERROR(SEARCH(TEXT('Control Center'!$B$3,"ddd"),TRIM($D162)))),"Y","N"))</f>
        <v/>
      </c>
    </row>
    <row r="163" ht="14.25" customHeight="1" s="120">
      <c r="U163" s="227">
        <f>IF($B163="","",IF(AND($G163="Y",ISERROR(SEARCH(TEXT('Control Center'!$B$3,"ddd"),TRIM($D163)))),"Y","N"))</f>
        <v/>
      </c>
      <c r="V163" s="227">
        <f>IF($B163="","",IF(AND($U163="Y",OR($C163="3:45 AM",$C163="5:45 AM"),OR('Control Center'!$B$4="N",$K163&lt;&gt;"Y")),"Y","N"))</f>
        <v/>
      </c>
      <c r="W163" s="227">
        <f>IF($B163="","",IF(AND($U163="Y",OR($C163="12:15 PM",$C163="2:00 PM"),OR('Control Center'!$B$5="N",$K163&lt;&gt;"Y")),"Y","N"))</f>
        <v/>
      </c>
      <c r="X163" s="228" t="n"/>
      <c r="Y163" s="229" t="n"/>
      <c r="Z163" s="228" t="n"/>
      <c r="AA163" s="229" t="n"/>
      <c r="AB163" s="230">
        <f>IF($B163="","",IF($P163="Y",IF($Y163="Y","Completed","In Progress"),""))</f>
        <v/>
      </c>
      <c r="AC163" s="119">
        <f>IF($B163="","",IF(COUNTIFS('Approved Absences'!$A$2:$A$200,$B163,'Approved Absences'!$B$2:$B$200,"&lt;="&amp;INT('Control Center'!$B$3),'Approved Absences'!$C$2:$C$200,"&gt;="&amp;INT('Control Center'!$B$3))&gt;0,"Y","N"))</f>
        <v/>
      </c>
      <c r="AD163" s="119">
        <f>IF($B163="","",IF(AND($G163="Y",$AC163&lt;&gt;"Y",ISERROR(SEARCH(TEXT('Control Center'!$B$3,"ddd"),TRIM($D163)))),"Y","N"))</f>
        <v/>
      </c>
    </row>
    <row r="164" ht="14.25" customHeight="1" s="120">
      <c r="U164" s="227">
        <f>IF($B164="","",IF(AND($G164="Y",ISERROR(SEARCH(TEXT('Control Center'!$B$3,"ddd"),TRIM($D164)))),"Y","N"))</f>
        <v/>
      </c>
      <c r="V164" s="227">
        <f>IF($B164="","",IF(AND($U164="Y",OR($C164="3:45 AM",$C164="5:45 AM"),OR('Control Center'!$B$4="N",$K164&lt;&gt;"Y")),"Y","N"))</f>
        <v/>
      </c>
      <c r="W164" s="227">
        <f>IF($B164="","",IF(AND($U164="Y",OR($C164="12:15 PM",$C164="2:00 PM"),OR('Control Center'!$B$5="N",$K164&lt;&gt;"Y")),"Y","N"))</f>
        <v/>
      </c>
      <c r="X164" s="228" t="n"/>
      <c r="Y164" s="229" t="n"/>
      <c r="Z164" s="228" t="n"/>
      <c r="AA164" s="229" t="n"/>
      <c r="AB164" s="230">
        <f>IF($B164="","",IF($P164="Y",IF($Y164="Y","Completed","In Progress"),""))</f>
        <v/>
      </c>
      <c r="AC164" s="119">
        <f>IF($B164="","",IF(COUNTIFS('Approved Absences'!$A$2:$A$200,$B164,'Approved Absences'!$B$2:$B$200,"&lt;="&amp;INT('Control Center'!$B$3),'Approved Absences'!$C$2:$C$200,"&gt;="&amp;INT('Control Center'!$B$3))&gt;0,"Y","N"))</f>
        <v/>
      </c>
      <c r="AD164" s="119">
        <f>IF($B164="","",IF(AND($G164="Y",$AC164&lt;&gt;"Y",ISERROR(SEARCH(TEXT('Control Center'!$B$3,"ddd"),TRIM($D164)))),"Y","N"))</f>
        <v/>
      </c>
    </row>
    <row r="165" ht="14.25" customHeight="1" s="120">
      <c r="U165" s="227">
        <f>IF($B165="","",IF(AND($G165="Y",ISERROR(SEARCH(TEXT('Control Center'!$B$3,"ddd"),TRIM($D165)))),"Y","N"))</f>
        <v/>
      </c>
      <c r="V165" s="227">
        <f>IF($B165="","",IF(AND($U165="Y",OR($C165="3:45 AM",$C165="5:45 AM"),OR('Control Center'!$B$4="N",$K165&lt;&gt;"Y")),"Y","N"))</f>
        <v/>
      </c>
      <c r="W165" s="227">
        <f>IF($B165="","",IF(AND($U165="Y",OR($C165="12:15 PM",$C165="2:00 PM"),OR('Control Center'!$B$5="N",$K165&lt;&gt;"Y")),"Y","N"))</f>
        <v/>
      </c>
      <c r="X165" s="228" t="n"/>
      <c r="Y165" s="229" t="n"/>
      <c r="Z165" s="228" t="n"/>
      <c r="AA165" s="229" t="n"/>
      <c r="AB165" s="230">
        <f>IF($B165="","",IF($P165="Y",IF($Y165="Y","Completed","In Progress"),""))</f>
        <v/>
      </c>
      <c r="AC165" s="119">
        <f>IF($B165="","",IF(COUNTIFS('Approved Absences'!$A$2:$A$200,$B165,'Approved Absences'!$B$2:$B$200,"&lt;="&amp;INT('Control Center'!$B$3),'Approved Absences'!$C$2:$C$200,"&gt;="&amp;INT('Control Center'!$B$3))&gt;0,"Y","N"))</f>
        <v/>
      </c>
      <c r="AD165" s="119">
        <f>IF($B165="","",IF(AND($G165="Y",$AC165&lt;&gt;"Y",ISERROR(SEARCH(TEXT('Control Center'!$B$3,"ddd"),TRIM($D165)))),"Y","N"))</f>
        <v/>
      </c>
    </row>
    <row r="166" ht="14.25" customHeight="1" s="120">
      <c r="U166" s="227">
        <f>IF($B166="","",IF(AND($G166="Y",ISERROR(SEARCH(TEXT('Control Center'!$B$3,"ddd"),TRIM($D166)))),"Y","N"))</f>
        <v/>
      </c>
      <c r="V166" s="227">
        <f>IF($B166="","",IF(AND($U166="Y",OR($C166="3:45 AM",$C166="5:45 AM"),OR('Control Center'!$B$4="N",$K166&lt;&gt;"Y")),"Y","N"))</f>
        <v/>
      </c>
      <c r="W166" s="227">
        <f>IF($B166="","",IF(AND($U166="Y",OR($C166="12:15 PM",$C166="2:00 PM"),OR('Control Center'!$B$5="N",$K166&lt;&gt;"Y")),"Y","N"))</f>
        <v/>
      </c>
      <c r="X166" s="228" t="n"/>
      <c r="Y166" s="229" t="n"/>
      <c r="Z166" s="228" t="n"/>
      <c r="AA166" s="229" t="n"/>
      <c r="AB166" s="230">
        <f>IF($B166="","",IF($P166="Y",IF($Y166="Y","Completed","In Progress"),""))</f>
        <v/>
      </c>
      <c r="AC166" s="119">
        <f>IF($B166="","",IF(COUNTIFS('Approved Absences'!$A$2:$A$200,$B166,'Approved Absences'!$B$2:$B$200,"&lt;="&amp;INT('Control Center'!$B$3),'Approved Absences'!$C$2:$C$200,"&gt;="&amp;INT('Control Center'!$B$3))&gt;0,"Y","N"))</f>
        <v/>
      </c>
      <c r="AD166" s="119">
        <f>IF($B166="","",IF(AND($G166="Y",$AC166&lt;&gt;"Y",ISERROR(SEARCH(TEXT('Control Center'!$B$3,"ddd"),TRIM($D166)))),"Y","N"))</f>
        <v/>
      </c>
    </row>
    <row r="167" ht="14.25" customHeight="1" s="120">
      <c r="U167" s="227">
        <f>IF($B167="","",IF(AND($G167="Y",ISERROR(SEARCH(TEXT('Control Center'!$B$3,"ddd"),TRIM($D167)))),"Y","N"))</f>
        <v/>
      </c>
      <c r="V167" s="227">
        <f>IF($B167="","",IF(AND($U167="Y",OR($C167="3:45 AM",$C167="5:45 AM"),OR('Control Center'!$B$4="N",$K167&lt;&gt;"Y")),"Y","N"))</f>
        <v/>
      </c>
      <c r="W167" s="227">
        <f>IF($B167="","",IF(AND($U167="Y",OR($C167="12:15 PM",$C167="2:00 PM"),OR('Control Center'!$B$5="N",$K167&lt;&gt;"Y")),"Y","N"))</f>
        <v/>
      </c>
      <c r="X167" s="228" t="n"/>
      <c r="Y167" s="229" t="n"/>
      <c r="Z167" s="228" t="n"/>
      <c r="AA167" s="229" t="n"/>
      <c r="AB167" s="230">
        <f>IF($B167="","",IF($P167="Y",IF($Y167="Y","Completed","In Progress"),""))</f>
        <v/>
      </c>
      <c r="AC167" s="119">
        <f>IF($B167="","",IF(COUNTIFS('Approved Absences'!$A$2:$A$200,$B167,'Approved Absences'!$B$2:$B$200,"&lt;="&amp;INT('Control Center'!$B$3),'Approved Absences'!$C$2:$C$200,"&gt;="&amp;INT('Control Center'!$B$3))&gt;0,"Y","N"))</f>
        <v/>
      </c>
      <c r="AD167" s="119">
        <f>IF($B167="","",IF(AND($G167="Y",$AC167&lt;&gt;"Y",ISERROR(SEARCH(TEXT('Control Center'!$B$3,"ddd"),TRIM($D167)))),"Y","N"))</f>
        <v/>
      </c>
    </row>
    <row r="168" ht="14.25" customHeight="1" s="120">
      <c r="U168" s="227">
        <f>IF($B168="","",IF(AND($G168="Y",ISERROR(SEARCH(TEXT('Control Center'!$B$3,"ddd"),TRIM($D168)))),"Y","N"))</f>
        <v/>
      </c>
      <c r="V168" s="227">
        <f>IF($B168="","",IF(AND($U168="Y",OR($C168="3:45 AM",$C168="5:45 AM"),OR('Control Center'!$B$4="N",$K168&lt;&gt;"Y")),"Y","N"))</f>
        <v/>
      </c>
      <c r="W168" s="227">
        <f>IF($B168="","",IF(AND($U168="Y",OR($C168="12:15 PM",$C168="2:00 PM"),OR('Control Center'!$B$5="N",$K168&lt;&gt;"Y")),"Y","N"))</f>
        <v/>
      </c>
      <c r="X168" s="228" t="n"/>
      <c r="Y168" s="229" t="n"/>
      <c r="Z168" s="228" t="n"/>
      <c r="AA168" s="229" t="n"/>
      <c r="AB168" s="230">
        <f>IF($B168="","",IF($P168="Y",IF($Y168="Y","Completed","In Progress"),""))</f>
        <v/>
      </c>
      <c r="AC168" s="119">
        <f>IF($B168="","",IF(COUNTIFS('Approved Absences'!$A$2:$A$200,$B168,'Approved Absences'!$B$2:$B$200,"&lt;="&amp;INT('Control Center'!$B$3),'Approved Absences'!$C$2:$C$200,"&gt;="&amp;INT('Control Center'!$B$3))&gt;0,"Y","N"))</f>
        <v/>
      </c>
      <c r="AD168" s="119">
        <f>IF($B168="","",IF(AND($G168="Y",$AC168&lt;&gt;"Y",ISERROR(SEARCH(TEXT('Control Center'!$B$3,"ddd"),TRIM($D168)))),"Y","N"))</f>
        <v/>
      </c>
    </row>
    <row r="169" ht="14.25" customHeight="1" s="120">
      <c r="U169" s="227">
        <f>IF($B169="","",IF(AND($G169="Y",ISERROR(SEARCH(TEXT('Control Center'!$B$3,"ddd"),TRIM($D169)))),"Y","N"))</f>
        <v/>
      </c>
      <c r="V169" s="227">
        <f>IF($B169="","",IF(AND($U169="Y",OR($C169="3:45 AM",$C169="5:45 AM"),OR('Control Center'!$B$4="N",$K169&lt;&gt;"Y")),"Y","N"))</f>
        <v/>
      </c>
      <c r="W169" s="227">
        <f>IF($B169="","",IF(AND($U169="Y",OR($C169="12:15 PM",$C169="2:00 PM"),OR('Control Center'!$B$5="N",$K169&lt;&gt;"Y")),"Y","N"))</f>
        <v/>
      </c>
      <c r="X169" s="228" t="n"/>
      <c r="Y169" s="229" t="n"/>
      <c r="Z169" s="228" t="n"/>
      <c r="AA169" s="229" t="n"/>
      <c r="AB169" s="230">
        <f>IF($B169="","",IF($P169="Y",IF($Y169="Y","Completed","In Progress"),""))</f>
        <v/>
      </c>
      <c r="AC169" s="119">
        <f>IF($B169="","",IF(COUNTIFS('Approved Absences'!$A$2:$A$200,$B169,'Approved Absences'!$B$2:$B$200,"&lt;="&amp;INT('Control Center'!$B$3),'Approved Absences'!$C$2:$C$200,"&gt;="&amp;INT('Control Center'!$B$3))&gt;0,"Y","N"))</f>
        <v/>
      </c>
      <c r="AD169" s="119">
        <f>IF($B169="","",IF(AND($G169="Y",$AC169&lt;&gt;"Y",ISERROR(SEARCH(TEXT('Control Center'!$B$3,"ddd"),TRIM($D169)))),"Y","N"))</f>
        <v/>
      </c>
    </row>
    <row r="170" ht="14.25" customHeight="1" s="120">
      <c r="U170" s="227">
        <f>IF($B170="","",IF(AND($G170="Y",ISERROR(SEARCH(TEXT('Control Center'!$B$3,"ddd"),TRIM($D170)))),"Y","N"))</f>
        <v/>
      </c>
      <c r="V170" s="227">
        <f>IF($B170="","",IF(AND($U170="Y",OR($C170="3:45 AM",$C170="5:45 AM"),OR('Control Center'!$B$4="N",$K170&lt;&gt;"Y")),"Y","N"))</f>
        <v/>
      </c>
      <c r="W170" s="227">
        <f>IF($B170="","",IF(AND($U170="Y",OR($C170="12:15 PM",$C170="2:00 PM"),OR('Control Center'!$B$5="N",$K170&lt;&gt;"Y")),"Y","N"))</f>
        <v/>
      </c>
      <c r="X170" s="228" t="n"/>
      <c r="Y170" s="229" t="n"/>
      <c r="Z170" s="228" t="n"/>
      <c r="AA170" s="229" t="n"/>
      <c r="AB170" s="230">
        <f>IF($B170="","",IF($P170="Y",IF($Y170="Y","Completed","In Progress"),""))</f>
        <v/>
      </c>
      <c r="AC170" s="119">
        <f>IF($B170="","",IF(COUNTIFS('Approved Absences'!$A$2:$A$200,$B170,'Approved Absences'!$B$2:$B$200,"&lt;="&amp;INT('Control Center'!$B$3),'Approved Absences'!$C$2:$C$200,"&gt;="&amp;INT('Control Center'!$B$3))&gt;0,"Y","N"))</f>
        <v/>
      </c>
      <c r="AD170" s="119">
        <f>IF($B170="","",IF(AND($G170="Y",$AC170&lt;&gt;"Y",ISERROR(SEARCH(TEXT('Control Center'!$B$3,"ddd"),TRIM($D170)))),"Y","N"))</f>
        <v/>
      </c>
    </row>
    <row r="171" ht="14.25" customHeight="1" s="120">
      <c r="U171" s="227">
        <f>IF($B171="","",IF(AND($G171="Y",ISERROR(SEARCH(TEXT('Control Center'!$B$3,"ddd"),TRIM($D171)))),"Y","N"))</f>
        <v/>
      </c>
      <c r="V171" s="227">
        <f>IF($B171="","",IF(AND($U171="Y",OR($C171="3:45 AM",$C171="5:45 AM"),OR('Control Center'!$B$4="N",$K171&lt;&gt;"Y")),"Y","N"))</f>
        <v/>
      </c>
      <c r="W171" s="227">
        <f>IF($B171="","",IF(AND($U171="Y",OR($C171="12:15 PM",$C171="2:00 PM"),OR('Control Center'!$B$5="N",$K171&lt;&gt;"Y")),"Y","N"))</f>
        <v/>
      </c>
      <c r="X171" s="228" t="n"/>
      <c r="Y171" s="229" t="n"/>
      <c r="Z171" s="228" t="n"/>
      <c r="AA171" s="229" t="n"/>
      <c r="AB171" s="230">
        <f>IF($B171="","",IF($P171="Y",IF($Y171="Y","Completed","In Progress"),""))</f>
        <v/>
      </c>
      <c r="AC171" s="119">
        <f>IF($B171="","",IF(COUNTIFS('Approved Absences'!$A$2:$A$200,$B171,'Approved Absences'!$B$2:$B$200,"&lt;="&amp;INT('Control Center'!$B$3),'Approved Absences'!$C$2:$C$200,"&gt;="&amp;INT('Control Center'!$B$3))&gt;0,"Y","N"))</f>
        <v/>
      </c>
      <c r="AD171" s="119">
        <f>IF($B171="","",IF(AND($G171="Y",$AC171&lt;&gt;"Y",ISERROR(SEARCH(TEXT('Control Center'!$B$3,"ddd"),TRIM($D171)))),"Y","N"))</f>
        <v/>
      </c>
    </row>
    <row r="172" ht="14.25" customHeight="1" s="120">
      <c r="U172" s="227">
        <f>IF($B172="","",IF(AND($G172="Y",ISERROR(SEARCH(TEXT('Control Center'!$B$3,"ddd"),TRIM($D172)))),"Y","N"))</f>
        <v/>
      </c>
      <c r="V172" s="227">
        <f>IF($B172="","",IF(AND($U172="Y",OR($C172="3:45 AM",$C172="5:45 AM"),OR('Control Center'!$B$4="N",$K172&lt;&gt;"Y")),"Y","N"))</f>
        <v/>
      </c>
      <c r="W172" s="227">
        <f>IF($B172="","",IF(AND($U172="Y",OR($C172="12:15 PM",$C172="2:00 PM"),OR('Control Center'!$B$5="N",$K172&lt;&gt;"Y")),"Y","N"))</f>
        <v/>
      </c>
      <c r="X172" s="228" t="n"/>
      <c r="Y172" s="229" t="n"/>
      <c r="Z172" s="228" t="n"/>
      <c r="AA172" s="229" t="n"/>
      <c r="AB172" s="230">
        <f>IF($B172="","",IF($P172="Y",IF($Y172="Y","Completed","In Progress"),""))</f>
        <v/>
      </c>
      <c r="AC172" s="119">
        <f>IF($B172="","",IF(COUNTIFS('Approved Absences'!$A$2:$A$200,$B172,'Approved Absences'!$B$2:$B$200,"&lt;="&amp;INT('Control Center'!$B$3),'Approved Absences'!$C$2:$C$200,"&gt;="&amp;INT('Control Center'!$B$3))&gt;0,"Y","N"))</f>
        <v/>
      </c>
      <c r="AD172" s="119">
        <f>IF($B172="","",IF(AND($G172="Y",$AC172&lt;&gt;"Y",ISERROR(SEARCH(TEXT('Control Center'!$B$3,"ddd"),TRIM($D172)))),"Y","N"))</f>
        <v/>
      </c>
    </row>
    <row r="173" ht="14.25" customHeight="1" s="120">
      <c r="U173" s="227">
        <f>IF($B173="","",IF(AND($G173="Y",ISERROR(SEARCH(TEXT('Control Center'!$B$3,"ddd"),TRIM($D173)))),"Y","N"))</f>
        <v/>
      </c>
      <c r="V173" s="227">
        <f>IF($B173="","",IF(AND($U173="Y",OR($C173="3:45 AM",$C173="5:45 AM"),OR('Control Center'!$B$4="N",$K173&lt;&gt;"Y")),"Y","N"))</f>
        <v/>
      </c>
      <c r="W173" s="227">
        <f>IF($B173="","",IF(AND($U173="Y",OR($C173="12:15 PM",$C173="2:00 PM"),OR('Control Center'!$B$5="N",$K173&lt;&gt;"Y")),"Y","N"))</f>
        <v/>
      </c>
      <c r="X173" s="228" t="n"/>
      <c r="Y173" s="229" t="n"/>
      <c r="Z173" s="228" t="n"/>
      <c r="AA173" s="229" t="n"/>
      <c r="AB173" s="230">
        <f>IF($B173="","",IF($P173="Y",IF($Y173="Y","Completed","In Progress"),""))</f>
        <v/>
      </c>
      <c r="AC173" s="119">
        <f>IF($B173="","",IF(COUNTIFS('Approved Absences'!$A$2:$A$200,$B173,'Approved Absences'!$B$2:$B$200,"&lt;="&amp;INT('Control Center'!$B$3),'Approved Absences'!$C$2:$C$200,"&gt;="&amp;INT('Control Center'!$B$3))&gt;0,"Y","N"))</f>
        <v/>
      </c>
      <c r="AD173" s="119">
        <f>IF($B173="","",IF(AND($G173="Y",$AC173&lt;&gt;"Y",ISERROR(SEARCH(TEXT('Control Center'!$B$3,"ddd"),TRIM($D173)))),"Y","N"))</f>
        <v/>
      </c>
    </row>
    <row r="174" ht="14.25" customHeight="1" s="120">
      <c r="U174" s="227">
        <f>IF($B174="","",IF(AND($G174="Y",ISERROR(SEARCH(TEXT('Control Center'!$B$3,"ddd"),TRIM($D174)))),"Y","N"))</f>
        <v/>
      </c>
      <c r="V174" s="227">
        <f>IF($B174="","",IF(AND($U174="Y",OR($C174="3:45 AM",$C174="5:45 AM"),OR('Control Center'!$B$4="N",$K174&lt;&gt;"Y")),"Y","N"))</f>
        <v/>
      </c>
      <c r="W174" s="227">
        <f>IF($B174="","",IF(AND($U174="Y",OR($C174="12:15 PM",$C174="2:00 PM"),OR('Control Center'!$B$5="N",$K174&lt;&gt;"Y")),"Y","N"))</f>
        <v/>
      </c>
      <c r="X174" s="228" t="n"/>
      <c r="Y174" s="229" t="n"/>
      <c r="Z174" s="228" t="n"/>
      <c r="AA174" s="229" t="n"/>
      <c r="AB174" s="230">
        <f>IF($B174="","",IF($P174="Y",IF($Y174="Y","Completed","In Progress"),""))</f>
        <v/>
      </c>
      <c r="AC174" s="119">
        <f>IF($B174="","",IF(COUNTIFS('Approved Absences'!$A$2:$A$200,$B174,'Approved Absences'!$B$2:$B$200,"&lt;="&amp;INT('Control Center'!$B$3),'Approved Absences'!$C$2:$C$200,"&gt;="&amp;INT('Control Center'!$B$3))&gt;0,"Y","N"))</f>
        <v/>
      </c>
      <c r="AD174" s="119">
        <f>IF($B174="","",IF(AND($G174="Y",$AC174&lt;&gt;"Y",ISERROR(SEARCH(TEXT('Control Center'!$B$3,"ddd"),TRIM($D174)))),"Y","N"))</f>
        <v/>
      </c>
    </row>
    <row r="175" ht="14.25" customHeight="1" s="120">
      <c r="U175" s="227">
        <f>IF($B175="","",IF(AND($G175="Y",ISERROR(SEARCH(TEXT('Control Center'!$B$3,"ddd"),TRIM($D175)))),"Y","N"))</f>
        <v/>
      </c>
      <c r="V175" s="227">
        <f>IF($B175="","",IF(AND($U175="Y",OR($C175="3:45 AM",$C175="5:45 AM"),OR('Control Center'!$B$4="N",$K175&lt;&gt;"Y")),"Y","N"))</f>
        <v/>
      </c>
      <c r="W175" s="227">
        <f>IF($B175="","",IF(AND($U175="Y",OR($C175="12:15 PM",$C175="2:00 PM"),OR('Control Center'!$B$5="N",$K175&lt;&gt;"Y")),"Y","N"))</f>
        <v/>
      </c>
      <c r="X175" s="228" t="n"/>
      <c r="Y175" s="229" t="n"/>
      <c r="Z175" s="228" t="n"/>
      <c r="AA175" s="229" t="n"/>
      <c r="AB175" s="230">
        <f>IF($B175="","",IF($P175="Y",IF($Y175="Y","Completed","In Progress"),""))</f>
        <v/>
      </c>
      <c r="AC175" s="119">
        <f>IF($B175="","",IF(COUNTIFS('Approved Absences'!$A$2:$A$200,$B175,'Approved Absences'!$B$2:$B$200,"&lt;="&amp;INT('Control Center'!$B$3),'Approved Absences'!$C$2:$C$200,"&gt;="&amp;INT('Control Center'!$B$3))&gt;0,"Y","N"))</f>
        <v/>
      </c>
      <c r="AD175" s="119">
        <f>IF($B175="","",IF(AND($G175="Y",$AC175&lt;&gt;"Y",ISERROR(SEARCH(TEXT('Control Center'!$B$3,"ddd"),TRIM($D175)))),"Y","N"))</f>
        <v/>
      </c>
    </row>
    <row r="176" ht="14.25" customHeight="1" s="120">
      <c r="U176" s="227">
        <f>IF($B176="","",IF(AND($G176="Y",ISERROR(SEARCH(TEXT('Control Center'!$B$3,"ddd"),TRIM($D176)))),"Y","N"))</f>
        <v/>
      </c>
      <c r="V176" s="227">
        <f>IF($B176="","",IF(AND($U176="Y",OR($C176="3:45 AM",$C176="5:45 AM"),OR('Control Center'!$B$4="N",$K176&lt;&gt;"Y")),"Y","N"))</f>
        <v/>
      </c>
      <c r="W176" s="227">
        <f>IF($B176="","",IF(AND($U176="Y",OR($C176="12:15 PM",$C176="2:00 PM"),OR('Control Center'!$B$5="N",$K176&lt;&gt;"Y")),"Y","N"))</f>
        <v/>
      </c>
      <c r="X176" s="228" t="n"/>
      <c r="Y176" s="229" t="n"/>
      <c r="Z176" s="228" t="n"/>
      <c r="AA176" s="229" t="n"/>
      <c r="AB176" s="230">
        <f>IF($B176="","",IF($P176="Y",IF($Y176="Y","Completed","In Progress"),""))</f>
        <v/>
      </c>
      <c r="AC176" s="119">
        <f>IF($B176="","",IF(COUNTIFS('Approved Absences'!$A$2:$A$200,$B176,'Approved Absences'!$B$2:$B$200,"&lt;="&amp;INT('Control Center'!$B$3),'Approved Absences'!$C$2:$C$200,"&gt;="&amp;INT('Control Center'!$B$3))&gt;0,"Y","N"))</f>
        <v/>
      </c>
      <c r="AD176" s="119">
        <f>IF($B176="","",IF(AND($G176="Y",$AC176&lt;&gt;"Y",ISERROR(SEARCH(TEXT('Control Center'!$B$3,"ddd"),TRIM($D176)))),"Y","N"))</f>
        <v/>
      </c>
    </row>
    <row r="177" ht="14.25" customHeight="1" s="120">
      <c r="U177" s="227">
        <f>IF($B177="","",IF(AND($G177="Y",ISERROR(SEARCH(TEXT('Control Center'!$B$3,"ddd"),TRIM($D177)))),"Y","N"))</f>
        <v/>
      </c>
      <c r="V177" s="227">
        <f>IF($B177="","",IF(AND($U177="Y",OR($C177="3:45 AM",$C177="5:45 AM"),OR('Control Center'!$B$4="N",$K177&lt;&gt;"Y")),"Y","N"))</f>
        <v/>
      </c>
      <c r="W177" s="227">
        <f>IF($B177="","",IF(AND($U177="Y",OR($C177="12:15 PM",$C177="2:00 PM"),OR('Control Center'!$B$5="N",$K177&lt;&gt;"Y")),"Y","N"))</f>
        <v/>
      </c>
      <c r="X177" s="228" t="n"/>
      <c r="Y177" s="229" t="n"/>
      <c r="Z177" s="228" t="n"/>
      <c r="AA177" s="229" t="n"/>
      <c r="AB177" s="230">
        <f>IF($B177="","",IF($P177="Y",IF($Y177="Y","Completed","In Progress"),""))</f>
        <v/>
      </c>
      <c r="AC177" s="119">
        <f>IF($B177="","",IF(COUNTIFS('Approved Absences'!$A$2:$A$200,$B177,'Approved Absences'!$B$2:$B$200,"&lt;="&amp;INT('Control Center'!$B$3),'Approved Absences'!$C$2:$C$200,"&gt;="&amp;INT('Control Center'!$B$3))&gt;0,"Y","N"))</f>
        <v/>
      </c>
      <c r="AD177" s="119">
        <f>IF($B177="","",IF(AND($G177="Y",$AC177&lt;&gt;"Y",ISERROR(SEARCH(TEXT('Control Center'!$B$3,"ddd"),TRIM($D177)))),"Y","N"))</f>
        <v/>
      </c>
    </row>
    <row r="178" ht="14.25" customHeight="1" s="120">
      <c r="U178" s="227">
        <f>IF($B178="","",IF(AND($G178="Y",ISERROR(SEARCH(TEXT('Control Center'!$B$3,"ddd"),TRIM($D178)))),"Y","N"))</f>
        <v/>
      </c>
      <c r="V178" s="227">
        <f>IF($B178="","",IF(AND($U178="Y",OR($C178="3:45 AM",$C178="5:45 AM"),OR('Control Center'!$B$4="N",$K178&lt;&gt;"Y")),"Y","N"))</f>
        <v/>
      </c>
      <c r="W178" s="227">
        <f>IF($B178="","",IF(AND($U178="Y",OR($C178="12:15 PM",$C178="2:00 PM"),OR('Control Center'!$B$5="N",$K178&lt;&gt;"Y")),"Y","N"))</f>
        <v/>
      </c>
      <c r="X178" s="228" t="n"/>
      <c r="Y178" s="229" t="n"/>
      <c r="Z178" s="228" t="n"/>
      <c r="AA178" s="229" t="n"/>
      <c r="AB178" s="230">
        <f>IF($B178="","",IF($P178="Y",IF($Y178="Y","Completed","In Progress"),""))</f>
        <v/>
      </c>
      <c r="AC178" s="119">
        <f>IF($B178="","",IF(COUNTIFS('Approved Absences'!$A$2:$A$200,$B178,'Approved Absences'!$B$2:$B$200,"&lt;="&amp;INT('Control Center'!$B$3),'Approved Absences'!$C$2:$C$200,"&gt;="&amp;INT('Control Center'!$B$3))&gt;0,"Y","N"))</f>
        <v/>
      </c>
      <c r="AD178" s="119">
        <f>IF($B178="","",IF(AND($G178="Y",$AC178&lt;&gt;"Y",ISERROR(SEARCH(TEXT('Control Center'!$B$3,"ddd"),TRIM($D178)))),"Y","N"))</f>
        <v/>
      </c>
    </row>
    <row r="179" ht="14.25" customHeight="1" s="120">
      <c r="U179" s="227">
        <f>IF($B179="","",IF(AND($G179="Y",ISERROR(SEARCH(TEXT('Control Center'!$B$3,"ddd"),TRIM($D179)))),"Y","N"))</f>
        <v/>
      </c>
      <c r="V179" s="227">
        <f>IF($B179="","",IF(AND($U179="Y",OR($C179="3:45 AM",$C179="5:45 AM"),OR('Control Center'!$B$4="N",$K179&lt;&gt;"Y")),"Y","N"))</f>
        <v/>
      </c>
      <c r="W179" s="227">
        <f>IF($B179="","",IF(AND($U179="Y",OR($C179="12:15 PM",$C179="2:00 PM"),OR('Control Center'!$B$5="N",$K179&lt;&gt;"Y")),"Y","N"))</f>
        <v/>
      </c>
      <c r="X179" s="228" t="n"/>
      <c r="Y179" s="229" t="n"/>
      <c r="Z179" s="228" t="n"/>
      <c r="AA179" s="229" t="n"/>
      <c r="AB179" s="230">
        <f>IF($B179="","",IF($P179="Y",IF($Y179="Y","Completed","In Progress"),""))</f>
        <v/>
      </c>
      <c r="AC179" s="119">
        <f>IF($B179="","",IF(COUNTIFS('Approved Absences'!$A$2:$A$200,$B179,'Approved Absences'!$B$2:$B$200,"&lt;="&amp;INT('Control Center'!$B$3),'Approved Absences'!$C$2:$C$200,"&gt;="&amp;INT('Control Center'!$B$3))&gt;0,"Y","N"))</f>
        <v/>
      </c>
      <c r="AD179" s="119">
        <f>IF($B179="","",IF(AND($G179="Y",$AC179&lt;&gt;"Y",ISERROR(SEARCH(TEXT('Control Center'!$B$3,"ddd"),TRIM($D179)))),"Y","N"))</f>
        <v/>
      </c>
    </row>
    <row r="180" ht="14.25" customHeight="1" s="120">
      <c r="U180" s="227">
        <f>IF($B180="","",IF(AND($G180="Y",ISERROR(SEARCH(TEXT('Control Center'!$B$3,"ddd"),TRIM($D180)))),"Y","N"))</f>
        <v/>
      </c>
      <c r="V180" s="227">
        <f>IF($B180="","",IF(AND($U180="Y",OR($C180="3:45 AM",$C180="5:45 AM"),OR('Control Center'!$B$4="N",$K180&lt;&gt;"Y")),"Y","N"))</f>
        <v/>
      </c>
      <c r="W180" s="227">
        <f>IF($B180="","",IF(AND($U180="Y",OR($C180="12:15 PM",$C180="2:00 PM"),OR('Control Center'!$B$5="N",$K180&lt;&gt;"Y")),"Y","N"))</f>
        <v/>
      </c>
      <c r="X180" s="228" t="n"/>
      <c r="Y180" s="229" t="n"/>
      <c r="Z180" s="228" t="n"/>
      <c r="AA180" s="229" t="n"/>
      <c r="AB180" s="230">
        <f>IF($B180="","",IF($P180="Y",IF($Y180="Y","Completed","In Progress"),""))</f>
        <v/>
      </c>
      <c r="AC180" s="119">
        <f>IF($B180="","",IF(COUNTIFS('Approved Absences'!$A$2:$A$200,$B180,'Approved Absences'!$B$2:$B$200,"&lt;="&amp;INT('Control Center'!$B$3),'Approved Absences'!$C$2:$C$200,"&gt;="&amp;INT('Control Center'!$B$3))&gt;0,"Y","N"))</f>
        <v/>
      </c>
      <c r="AD180" s="119">
        <f>IF($B180="","",IF(AND($G180="Y",$AC180&lt;&gt;"Y",ISERROR(SEARCH(TEXT('Control Center'!$B$3,"ddd"),TRIM($D180)))),"Y","N"))</f>
        <v/>
      </c>
    </row>
    <row r="181" ht="14.25" customHeight="1" s="120">
      <c r="U181" s="227">
        <f>IF($B181="","",IF(AND($G181="Y",ISERROR(SEARCH(TEXT('Control Center'!$B$3,"ddd"),TRIM($D181)))),"Y","N"))</f>
        <v/>
      </c>
      <c r="V181" s="227">
        <f>IF($B181="","",IF(AND($U181="Y",OR($C181="3:45 AM",$C181="5:45 AM"),OR('Control Center'!$B$4="N",$K181&lt;&gt;"Y")),"Y","N"))</f>
        <v/>
      </c>
      <c r="W181" s="227">
        <f>IF($B181="","",IF(AND($U181="Y",OR($C181="12:15 PM",$C181="2:00 PM"),OR('Control Center'!$B$5="N",$K181&lt;&gt;"Y")),"Y","N"))</f>
        <v/>
      </c>
      <c r="X181" s="228" t="n"/>
      <c r="Y181" s="229" t="n"/>
      <c r="Z181" s="228" t="n"/>
      <c r="AA181" s="229" t="n"/>
      <c r="AB181" s="230">
        <f>IF($B181="","",IF($P181="Y",IF($Y181="Y","Completed","In Progress"),""))</f>
        <v/>
      </c>
      <c r="AC181" s="119">
        <f>IF($B181="","",IF(COUNTIFS('Approved Absences'!$A$2:$A$200,$B181,'Approved Absences'!$B$2:$B$200,"&lt;="&amp;INT('Control Center'!$B$3),'Approved Absences'!$C$2:$C$200,"&gt;="&amp;INT('Control Center'!$B$3))&gt;0,"Y","N"))</f>
        <v/>
      </c>
      <c r="AD181" s="119">
        <f>IF($B181="","",IF(AND($G181="Y",$AC181&lt;&gt;"Y",ISERROR(SEARCH(TEXT('Control Center'!$B$3,"ddd"),TRIM($D181)))),"Y","N"))</f>
        <v/>
      </c>
    </row>
    <row r="182" ht="14.25" customHeight="1" s="120">
      <c r="U182" s="227">
        <f>IF($B182="","",IF(AND($G182="Y",ISERROR(SEARCH(TEXT('Control Center'!$B$3,"ddd"),TRIM($D182)))),"Y","N"))</f>
        <v/>
      </c>
      <c r="V182" s="227">
        <f>IF($B182="","",IF(AND($U182="Y",OR($C182="3:45 AM",$C182="5:45 AM"),OR('Control Center'!$B$4="N",$K182&lt;&gt;"Y")),"Y","N"))</f>
        <v/>
      </c>
      <c r="W182" s="227">
        <f>IF($B182="","",IF(AND($U182="Y",OR($C182="12:15 PM",$C182="2:00 PM"),OR('Control Center'!$B$5="N",$K182&lt;&gt;"Y")),"Y","N"))</f>
        <v/>
      </c>
      <c r="X182" s="228" t="n"/>
      <c r="Y182" s="229" t="n"/>
      <c r="Z182" s="228" t="n"/>
      <c r="AA182" s="229" t="n"/>
      <c r="AB182" s="230">
        <f>IF($B182="","",IF($P182="Y",IF($Y182="Y","Completed","In Progress"),""))</f>
        <v/>
      </c>
      <c r="AC182" s="119">
        <f>IF($B182="","",IF(COUNTIFS('Approved Absences'!$A$2:$A$200,$B182,'Approved Absences'!$B$2:$B$200,"&lt;="&amp;INT('Control Center'!$B$3),'Approved Absences'!$C$2:$C$200,"&gt;="&amp;INT('Control Center'!$B$3))&gt;0,"Y","N"))</f>
        <v/>
      </c>
      <c r="AD182" s="119">
        <f>IF($B182="","",IF(AND($G182="Y",$AC182&lt;&gt;"Y",ISERROR(SEARCH(TEXT('Control Center'!$B$3,"ddd"),TRIM($D182)))),"Y","N"))</f>
        <v/>
      </c>
    </row>
    <row r="183" ht="14.25" customHeight="1" s="120">
      <c r="U183" s="227">
        <f>IF($B183="","",IF(AND($G183="Y",ISERROR(SEARCH(TEXT('Control Center'!$B$3,"ddd"),TRIM($D183)))),"Y","N"))</f>
        <v/>
      </c>
      <c r="V183" s="227">
        <f>IF($B183="","",IF(AND($U183="Y",OR($C183="3:45 AM",$C183="5:45 AM"),OR('Control Center'!$B$4="N",$K183&lt;&gt;"Y")),"Y","N"))</f>
        <v/>
      </c>
      <c r="W183" s="227">
        <f>IF($B183="","",IF(AND($U183="Y",OR($C183="12:15 PM",$C183="2:00 PM"),OR('Control Center'!$B$5="N",$K183&lt;&gt;"Y")),"Y","N"))</f>
        <v/>
      </c>
      <c r="X183" s="228" t="n"/>
      <c r="Y183" s="229" t="n"/>
      <c r="Z183" s="228" t="n"/>
      <c r="AA183" s="229" t="n"/>
      <c r="AB183" s="230">
        <f>IF($B183="","",IF($P183="Y",IF($Y183="Y","Completed","In Progress"),""))</f>
        <v/>
      </c>
      <c r="AC183" s="119">
        <f>IF($B183="","",IF(COUNTIFS('Approved Absences'!$A$2:$A$200,$B183,'Approved Absences'!$B$2:$B$200,"&lt;="&amp;INT('Control Center'!$B$3),'Approved Absences'!$C$2:$C$200,"&gt;="&amp;INT('Control Center'!$B$3))&gt;0,"Y","N"))</f>
        <v/>
      </c>
      <c r="AD183" s="119">
        <f>IF($B183="","",IF(AND($G183="Y",$AC183&lt;&gt;"Y",ISERROR(SEARCH(TEXT('Control Center'!$B$3,"ddd"),TRIM($D183)))),"Y","N"))</f>
        <v/>
      </c>
    </row>
    <row r="184" ht="14.25" customHeight="1" s="120">
      <c r="U184" s="227">
        <f>IF($B184="","",IF(AND($G184="Y",ISERROR(SEARCH(TEXT('Control Center'!$B$3,"ddd"),TRIM($D184)))),"Y","N"))</f>
        <v/>
      </c>
      <c r="V184" s="227">
        <f>IF($B184="","",IF(AND($U184="Y",OR($C184="3:45 AM",$C184="5:45 AM"),OR('Control Center'!$B$4="N",$K184&lt;&gt;"Y")),"Y","N"))</f>
        <v/>
      </c>
      <c r="W184" s="227">
        <f>IF($B184="","",IF(AND($U184="Y",OR($C184="12:15 PM",$C184="2:00 PM"),OR('Control Center'!$B$5="N",$K184&lt;&gt;"Y")),"Y","N"))</f>
        <v/>
      </c>
      <c r="X184" s="228" t="n"/>
      <c r="Y184" s="229" t="n"/>
      <c r="Z184" s="228" t="n"/>
      <c r="AA184" s="229" t="n"/>
      <c r="AB184" s="230">
        <f>IF($B184="","",IF($P184="Y",IF($Y184="Y","Completed","In Progress"),""))</f>
        <v/>
      </c>
      <c r="AC184" s="119">
        <f>IF($B184="","",IF(COUNTIFS('Approved Absences'!$A$2:$A$200,$B184,'Approved Absences'!$B$2:$B$200,"&lt;="&amp;INT('Control Center'!$B$3),'Approved Absences'!$C$2:$C$200,"&gt;="&amp;INT('Control Center'!$B$3))&gt;0,"Y","N"))</f>
        <v/>
      </c>
      <c r="AD184" s="119">
        <f>IF($B184="","",IF(AND($G184="Y",$AC184&lt;&gt;"Y",ISERROR(SEARCH(TEXT('Control Center'!$B$3,"ddd"),TRIM($D184)))),"Y","N"))</f>
        <v/>
      </c>
    </row>
    <row r="185" ht="14.25" customHeight="1" s="120">
      <c r="U185" s="227">
        <f>IF($B185="","",IF(AND($G185="Y",ISERROR(SEARCH(TEXT('Control Center'!$B$3,"ddd"),TRIM($D185)))),"Y","N"))</f>
        <v/>
      </c>
      <c r="V185" s="227">
        <f>IF($B185="","",IF(AND($U185="Y",OR($C185="3:45 AM",$C185="5:45 AM"),OR('Control Center'!$B$4="N",$K185&lt;&gt;"Y")),"Y","N"))</f>
        <v/>
      </c>
      <c r="W185" s="227">
        <f>IF($B185="","",IF(AND($U185="Y",OR($C185="12:15 PM",$C185="2:00 PM"),OR('Control Center'!$B$5="N",$K185&lt;&gt;"Y")),"Y","N"))</f>
        <v/>
      </c>
      <c r="X185" s="228" t="n"/>
      <c r="Y185" s="229" t="n"/>
      <c r="Z185" s="228" t="n"/>
      <c r="AA185" s="229" t="n"/>
      <c r="AB185" s="230">
        <f>IF($B185="","",IF($P185="Y",IF($Y185="Y","Completed","In Progress"),""))</f>
        <v/>
      </c>
      <c r="AC185" s="119">
        <f>IF($B185="","",IF(COUNTIFS('Approved Absences'!$A$2:$A$200,$B185,'Approved Absences'!$B$2:$B$200,"&lt;="&amp;INT('Control Center'!$B$3),'Approved Absences'!$C$2:$C$200,"&gt;="&amp;INT('Control Center'!$B$3))&gt;0,"Y","N"))</f>
        <v/>
      </c>
      <c r="AD185" s="119">
        <f>IF($B185="","",IF(AND($G185="Y",$AC185&lt;&gt;"Y",ISERROR(SEARCH(TEXT('Control Center'!$B$3,"ddd"),TRIM($D185)))),"Y","N"))</f>
        <v/>
      </c>
    </row>
    <row r="186" ht="14.25" customHeight="1" s="120">
      <c r="U186" s="227">
        <f>IF($B186="","",IF(AND($G186="Y",ISERROR(SEARCH(TEXT('Control Center'!$B$3,"ddd"),TRIM($D186)))),"Y","N"))</f>
        <v/>
      </c>
      <c r="V186" s="227">
        <f>IF($B186="","",IF(AND($U186="Y",OR($C186="3:45 AM",$C186="5:45 AM"),OR('Control Center'!$B$4="N",$K186&lt;&gt;"Y")),"Y","N"))</f>
        <v/>
      </c>
      <c r="W186" s="227">
        <f>IF($B186="","",IF(AND($U186="Y",OR($C186="12:15 PM",$C186="2:00 PM"),OR('Control Center'!$B$5="N",$K186&lt;&gt;"Y")),"Y","N"))</f>
        <v/>
      </c>
      <c r="X186" s="228" t="n"/>
      <c r="Y186" s="229" t="n"/>
      <c r="Z186" s="228" t="n"/>
      <c r="AA186" s="229" t="n"/>
      <c r="AB186" s="230">
        <f>IF($B186="","",IF($P186="Y",IF($Y186="Y","Completed","In Progress"),""))</f>
        <v/>
      </c>
      <c r="AC186" s="119">
        <f>IF($B186="","",IF(COUNTIFS('Approved Absences'!$A$2:$A$200,$B186,'Approved Absences'!$B$2:$B$200,"&lt;="&amp;INT('Control Center'!$B$3),'Approved Absences'!$C$2:$C$200,"&gt;="&amp;INT('Control Center'!$B$3))&gt;0,"Y","N"))</f>
        <v/>
      </c>
      <c r="AD186" s="119">
        <f>IF($B186="","",IF(AND($G186="Y",$AC186&lt;&gt;"Y",ISERROR(SEARCH(TEXT('Control Center'!$B$3,"ddd"),TRIM($D186)))),"Y","N"))</f>
        <v/>
      </c>
    </row>
    <row r="187" ht="14.25" customHeight="1" s="120">
      <c r="U187" s="227">
        <f>IF($B187="","",IF(AND($G187="Y",ISERROR(SEARCH(TEXT('Control Center'!$B$3,"ddd"),TRIM($D187)))),"Y","N"))</f>
        <v/>
      </c>
      <c r="V187" s="227">
        <f>IF($B187="","",IF(AND($U187="Y",OR($C187="3:45 AM",$C187="5:45 AM"),OR('Control Center'!$B$4="N",$K187&lt;&gt;"Y")),"Y","N"))</f>
        <v/>
      </c>
      <c r="W187" s="227">
        <f>IF($B187="","",IF(AND($U187="Y",OR($C187="12:15 PM",$C187="2:00 PM"),OR('Control Center'!$B$5="N",$K187&lt;&gt;"Y")),"Y","N"))</f>
        <v/>
      </c>
      <c r="X187" s="228" t="n"/>
      <c r="Y187" s="229" t="n"/>
      <c r="Z187" s="228" t="n"/>
      <c r="AA187" s="229" t="n"/>
      <c r="AB187" s="230">
        <f>IF($B187="","",IF($P187="Y",IF($Y187="Y","Completed","In Progress"),""))</f>
        <v/>
      </c>
      <c r="AC187" s="119">
        <f>IF($B187="","",IF(COUNTIFS('Approved Absences'!$A$2:$A$200,$B187,'Approved Absences'!$B$2:$B$200,"&lt;="&amp;INT('Control Center'!$B$3),'Approved Absences'!$C$2:$C$200,"&gt;="&amp;INT('Control Center'!$B$3))&gt;0,"Y","N"))</f>
        <v/>
      </c>
      <c r="AD187" s="119">
        <f>IF($B187="","",IF(AND($G187="Y",$AC187&lt;&gt;"Y",ISERROR(SEARCH(TEXT('Control Center'!$B$3,"ddd"),TRIM($D187)))),"Y","N"))</f>
        <v/>
      </c>
    </row>
    <row r="188" ht="14.25" customHeight="1" s="120">
      <c r="U188" s="227">
        <f>IF($B188="","",IF(AND($G188="Y",ISERROR(SEARCH(TEXT('Control Center'!$B$3,"ddd"),TRIM($D188)))),"Y","N"))</f>
        <v/>
      </c>
      <c r="V188" s="227">
        <f>IF($B188="","",IF(AND($U188="Y",OR($C188="3:45 AM",$C188="5:45 AM"),OR('Control Center'!$B$4="N",$K188&lt;&gt;"Y")),"Y","N"))</f>
        <v/>
      </c>
      <c r="W188" s="227">
        <f>IF($B188="","",IF(AND($U188="Y",OR($C188="12:15 PM",$C188="2:00 PM"),OR('Control Center'!$B$5="N",$K188&lt;&gt;"Y")),"Y","N"))</f>
        <v/>
      </c>
      <c r="X188" s="228" t="n"/>
      <c r="Y188" s="229" t="n"/>
      <c r="Z188" s="228" t="n"/>
      <c r="AA188" s="229" t="n"/>
      <c r="AB188" s="230">
        <f>IF($B188="","",IF($P188="Y",IF($Y188="Y","Completed","In Progress"),""))</f>
        <v/>
      </c>
      <c r="AC188" s="119">
        <f>IF($B188="","",IF(COUNTIFS('Approved Absences'!$A$2:$A$200,$B188,'Approved Absences'!$B$2:$B$200,"&lt;="&amp;INT('Control Center'!$B$3),'Approved Absences'!$C$2:$C$200,"&gt;="&amp;INT('Control Center'!$B$3))&gt;0,"Y","N"))</f>
        <v/>
      </c>
      <c r="AD188" s="119">
        <f>IF($B188="","",IF(AND($G188="Y",$AC188&lt;&gt;"Y",ISERROR(SEARCH(TEXT('Control Center'!$B$3,"ddd"),TRIM($D188)))),"Y","N"))</f>
        <v/>
      </c>
    </row>
    <row r="189" ht="14.25" customHeight="1" s="120">
      <c r="U189" s="227">
        <f>IF($B189="","",IF(AND($G189="Y",ISERROR(SEARCH(TEXT('Control Center'!$B$3,"ddd"),TRIM($D189)))),"Y","N"))</f>
        <v/>
      </c>
      <c r="V189" s="227">
        <f>IF($B189="","",IF(AND($U189="Y",OR($C189="3:45 AM",$C189="5:45 AM"),OR('Control Center'!$B$4="N",$K189&lt;&gt;"Y")),"Y","N"))</f>
        <v/>
      </c>
      <c r="W189" s="227">
        <f>IF($B189="","",IF(AND($U189="Y",OR($C189="12:15 PM",$C189="2:00 PM"),OR('Control Center'!$B$5="N",$K189&lt;&gt;"Y")),"Y","N"))</f>
        <v/>
      </c>
      <c r="X189" s="228" t="n"/>
      <c r="Y189" s="229" t="n"/>
      <c r="Z189" s="228" t="n"/>
      <c r="AA189" s="229" t="n"/>
      <c r="AB189" s="230">
        <f>IF($B189="","",IF($P189="Y",IF($Y189="Y","Completed","In Progress"),""))</f>
        <v/>
      </c>
      <c r="AC189" s="119">
        <f>IF($B189="","",IF(COUNTIFS('Approved Absences'!$A$2:$A$200,$B189,'Approved Absences'!$B$2:$B$200,"&lt;="&amp;INT('Control Center'!$B$3),'Approved Absences'!$C$2:$C$200,"&gt;="&amp;INT('Control Center'!$B$3))&gt;0,"Y","N"))</f>
        <v/>
      </c>
      <c r="AD189" s="119">
        <f>IF($B189="","",IF(AND($G189="Y",$AC189&lt;&gt;"Y",ISERROR(SEARCH(TEXT('Control Center'!$B$3,"ddd"),TRIM($D189)))),"Y","N"))</f>
        <v/>
      </c>
    </row>
    <row r="190" ht="14.25" customHeight="1" s="120">
      <c r="U190" s="227">
        <f>IF($B190="","",IF(AND($G190="Y",ISERROR(SEARCH(TEXT('Control Center'!$B$3,"ddd"),TRIM($D190)))),"Y","N"))</f>
        <v/>
      </c>
      <c r="V190" s="227">
        <f>IF($B190="","",IF(AND($U190="Y",OR($C190="3:45 AM",$C190="5:45 AM"),OR('Control Center'!$B$4="N",$K190&lt;&gt;"Y")),"Y","N"))</f>
        <v/>
      </c>
      <c r="W190" s="227">
        <f>IF($B190="","",IF(AND($U190="Y",OR($C190="12:15 PM",$C190="2:00 PM"),OR('Control Center'!$B$5="N",$K190&lt;&gt;"Y")),"Y","N"))</f>
        <v/>
      </c>
      <c r="X190" s="228" t="n"/>
      <c r="Y190" s="229" t="n"/>
      <c r="Z190" s="228" t="n"/>
      <c r="AA190" s="229" t="n"/>
      <c r="AB190" s="230">
        <f>IF($B190="","",IF($P190="Y",IF($Y190="Y","Completed","In Progress"),""))</f>
        <v/>
      </c>
      <c r="AC190" s="119">
        <f>IF($B190="","",IF(COUNTIFS('Approved Absences'!$A$2:$A$200,$B190,'Approved Absences'!$B$2:$B$200,"&lt;="&amp;INT('Control Center'!$B$3),'Approved Absences'!$C$2:$C$200,"&gt;="&amp;INT('Control Center'!$B$3))&gt;0,"Y","N"))</f>
        <v/>
      </c>
      <c r="AD190" s="119">
        <f>IF($B190="","",IF(AND($G190="Y",$AC190&lt;&gt;"Y",ISERROR(SEARCH(TEXT('Control Center'!$B$3,"ddd"),TRIM($D190)))),"Y","N"))</f>
        <v/>
      </c>
    </row>
    <row r="191" ht="14.25" customHeight="1" s="120">
      <c r="U191" s="227">
        <f>IF($B191="","",IF(AND($G191="Y",ISERROR(SEARCH(TEXT('Control Center'!$B$3,"ddd"),TRIM($D191)))),"Y","N"))</f>
        <v/>
      </c>
      <c r="V191" s="227">
        <f>IF($B191="","",IF(AND($U191="Y",OR($C191="3:45 AM",$C191="5:45 AM"),OR('Control Center'!$B$4="N",$K191&lt;&gt;"Y")),"Y","N"))</f>
        <v/>
      </c>
      <c r="W191" s="227">
        <f>IF($B191="","",IF(AND($U191="Y",OR($C191="12:15 PM",$C191="2:00 PM"),OR('Control Center'!$B$5="N",$K191&lt;&gt;"Y")),"Y","N"))</f>
        <v/>
      </c>
      <c r="X191" s="228" t="n"/>
      <c r="Y191" s="229" t="n"/>
      <c r="Z191" s="228" t="n"/>
      <c r="AA191" s="229" t="n"/>
      <c r="AB191" s="230">
        <f>IF($B191="","",IF($P191="Y",IF($Y191="Y","Completed","In Progress"),""))</f>
        <v/>
      </c>
      <c r="AC191" s="119">
        <f>IF($B191="","",IF(COUNTIFS('Approved Absences'!$A$2:$A$200,$B191,'Approved Absences'!$B$2:$B$200,"&lt;="&amp;INT('Control Center'!$B$3),'Approved Absences'!$C$2:$C$200,"&gt;="&amp;INT('Control Center'!$B$3))&gt;0,"Y","N"))</f>
        <v/>
      </c>
      <c r="AD191" s="119">
        <f>IF($B191="","",IF(AND($G191="Y",$AC191&lt;&gt;"Y",ISERROR(SEARCH(TEXT('Control Center'!$B$3,"ddd"),TRIM($D191)))),"Y","N"))</f>
        <v/>
      </c>
    </row>
    <row r="192" ht="14.25" customHeight="1" s="120">
      <c r="U192" s="227">
        <f>IF($B192="","",IF(AND($G192="Y",ISERROR(SEARCH(TEXT('Control Center'!$B$3,"ddd"),TRIM($D192)))),"Y","N"))</f>
        <v/>
      </c>
      <c r="V192" s="227">
        <f>IF($B192="","",IF(AND($U192="Y",OR($C192="3:45 AM",$C192="5:45 AM"),OR('Control Center'!$B$4="N",$K192&lt;&gt;"Y")),"Y","N"))</f>
        <v/>
      </c>
      <c r="W192" s="227">
        <f>IF($B192="","",IF(AND($U192="Y",OR($C192="12:15 PM",$C192="2:00 PM"),OR('Control Center'!$B$5="N",$K192&lt;&gt;"Y")),"Y","N"))</f>
        <v/>
      </c>
      <c r="X192" s="228" t="n"/>
      <c r="Y192" s="229" t="n"/>
      <c r="Z192" s="228" t="n"/>
      <c r="AA192" s="229" t="n"/>
      <c r="AB192" s="230">
        <f>IF($B192="","",IF($P192="Y",IF($Y192="Y","Completed","In Progress"),""))</f>
        <v/>
      </c>
      <c r="AC192" s="119">
        <f>IF($B192="","",IF(COUNTIFS('Approved Absences'!$A$2:$A$200,$B192,'Approved Absences'!$B$2:$B$200,"&lt;="&amp;INT('Control Center'!$B$3),'Approved Absences'!$C$2:$C$200,"&gt;="&amp;INT('Control Center'!$B$3))&gt;0,"Y","N"))</f>
        <v/>
      </c>
      <c r="AD192" s="119">
        <f>IF($B192="","",IF(AND($G192="Y",$AC192&lt;&gt;"Y",ISERROR(SEARCH(TEXT('Control Center'!$B$3,"ddd"),TRIM($D192)))),"Y","N"))</f>
        <v/>
      </c>
    </row>
    <row r="193" ht="14.25" customHeight="1" s="120">
      <c r="U193" s="227">
        <f>IF($B193="","",IF(AND($G193="Y",ISERROR(SEARCH(TEXT('Control Center'!$B$3,"ddd"),TRIM($D193)))),"Y","N"))</f>
        <v/>
      </c>
      <c r="V193" s="227">
        <f>IF($B193="","",IF(AND($U193="Y",OR($C193="3:45 AM",$C193="5:45 AM"),OR('Control Center'!$B$4="N",$K193&lt;&gt;"Y")),"Y","N"))</f>
        <v/>
      </c>
      <c r="W193" s="227">
        <f>IF($B193="","",IF(AND($U193="Y",OR($C193="12:15 PM",$C193="2:00 PM"),OR('Control Center'!$B$5="N",$K193&lt;&gt;"Y")),"Y","N"))</f>
        <v/>
      </c>
      <c r="X193" s="228" t="n"/>
      <c r="Y193" s="229" t="n"/>
      <c r="Z193" s="228" t="n"/>
      <c r="AA193" s="229" t="n"/>
      <c r="AB193" s="230">
        <f>IF($B193="","",IF($P193="Y",IF($Y193="Y","Completed","In Progress"),""))</f>
        <v/>
      </c>
      <c r="AC193" s="119">
        <f>IF($B193="","",IF(COUNTIFS('Approved Absences'!$A$2:$A$200,$B193,'Approved Absences'!$B$2:$B$200,"&lt;="&amp;INT('Control Center'!$B$3),'Approved Absences'!$C$2:$C$200,"&gt;="&amp;INT('Control Center'!$B$3))&gt;0,"Y","N"))</f>
        <v/>
      </c>
      <c r="AD193" s="119">
        <f>IF($B193="","",IF(AND($G193="Y",$AC193&lt;&gt;"Y",ISERROR(SEARCH(TEXT('Control Center'!$B$3,"ddd"),TRIM($D193)))),"Y","N"))</f>
        <v/>
      </c>
    </row>
    <row r="194" ht="14.25" customHeight="1" s="120">
      <c r="U194" s="227">
        <f>IF($B194="","",IF(AND($G194="Y",ISERROR(SEARCH(TEXT('Control Center'!$B$3,"ddd"),TRIM($D194)))),"Y","N"))</f>
        <v/>
      </c>
      <c r="V194" s="227">
        <f>IF($B194="","",IF(AND($U194="Y",OR($C194="3:45 AM",$C194="5:45 AM"),OR('Control Center'!$B$4="N",$K194&lt;&gt;"Y")),"Y","N"))</f>
        <v/>
      </c>
      <c r="W194" s="227">
        <f>IF($B194="","",IF(AND($U194="Y",OR($C194="12:15 PM",$C194="2:00 PM"),OR('Control Center'!$B$5="N",$K194&lt;&gt;"Y")),"Y","N"))</f>
        <v/>
      </c>
      <c r="X194" s="228" t="n"/>
      <c r="Y194" s="229" t="n"/>
      <c r="Z194" s="228" t="n"/>
      <c r="AA194" s="229" t="n"/>
      <c r="AB194" s="230">
        <f>IF($B194="","",IF($P194="Y",IF($Y194="Y","Completed","In Progress"),""))</f>
        <v/>
      </c>
      <c r="AC194" s="119">
        <f>IF($B194="","",IF(COUNTIFS('Approved Absences'!$A$2:$A$200,$B194,'Approved Absences'!$B$2:$B$200,"&lt;="&amp;INT('Control Center'!$B$3),'Approved Absences'!$C$2:$C$200,"&gt;="&amp;INT('Control Center'!$B$3))&gt;0,"Y","N"))</f>
        <v/>
      </c>
      <c r="AD194" s="119">
        <f>IF($B194="","",IF(AND($G194="Y",$AC194&lt;&gt;"Y",ISERROR(SEARCH(TEXT('Control Center'!$B$3,"ddd"),TRIM($D194)))),"Y","N"))</f>
        <v/>
      </c>
    </row>
    <row r="195" ht="14.25" customHeight="1" s="120">
      <c r="U195" s="227">
        <f>IF($B195="","",IF(AND($G195="Y",ISERROR(SEARCH(TEXT('Control Center'!$B$3,"ddd"),TRIM($D195)))),"Y","N"))</f>
        <v/>
      </c>
      <c r="V195" s="227">
        <f>IF($B195="","",IF(AND($U195="Y",OR($C195="3:45 AM",$C195="5:45 AM"),OR('Control Center'!$B$4="N",$K195&lt;&gt;"Y")),"Y","N"))</f>
        <v/>
      </c>
      <c r="W195" s="227">
        <f>IF($B195="","",IF(AND($U195="Y",OR($C195="12:15 PM",$C195="2:00 PM"),OR('Control Center'!$B$5="N",$K195&lt;&gt;"Y")),"Y","N"))</f>
        <v/>
      </c>
      <c r="X195" s="228" t="n"/>
      <c r="Y195" s="229" t="n"/>
      <c r="Z195" s="228" t="n"/>
      <c r="AA195" s="229" t="n"/>
      <c r="AB195" s="230">
        <f>IF($B195="","",IF($P195="Y",IF($Y195="Y","Completed","In Progress"),""))</f>
        <v/>
      </c>
      <c r="AC195" s="119">
        <f>IF($B195="","",IF(COUNTIFS('Approved Absences'!$A$2:$A$200,$B195,'Approved Absences'!$B$2:$B$200,"&lt;="&amp;INT('Control Center'!$B$3),'Approved Absences'!$C$2:$C$200,"&gt;="&amp;INT('Control Center'!$B$3))&gt;0,"Y","N"))</f>
        <v/>
      </c>
      <c r="AD195" s="119">
        <f>IF($B195="","",IF(AND($G195="Y",$AC195&lt;&gt;"Y",ISERROR(SEARCH(TEXT('Control Center'!$B$3,"ddd"),TRIM($D195)))),"Y","N"))</f>
        <v/>
      </c>
    </row>
    <row r="196" ht="14.25" customHeight="1" s="120">
      <c r="U196" s="227">
        <f>IF($B196="","",IF(AND($G196="Y",ISERROR(SEARCH(TEXT('Control Center'!$B$3,"ddd"),TRIM($D196)))),"Y","N"))</f>
        <v/>
      </c>
      <c r="V196" s="227">
        <f>IF($B196="","",IF(AND($U196="Y",OR($C196="3:45 AM",$C196="5:45 AM"),OR('Control Center'!$B$4="N",$K196&lt;&gt;"Y")),"Y","N"))</f>
        <v/>
      </c>
      <c r="W196" s="227">
        <f>IF($B196="","",IF(AND($U196="Y",OR($C196="12:15 PM",$C196="2:00 PM"),OR('Control Center'!$B$5="N",$K196&lt;&gt;"Y")),"Y","N"))</f>
        <v/>
      </c>
      <c r="X196" s="228" t="n"/>
      <c r="Y196" s="229" t="n"/>
      <c r="Z196" s="228" t="n"/>
      <c r="AA196" s="229" t="n"/>
      <c r="AB196" s="230">
        <f>IF($B196="","",IF($P196="Y",IF($Y196="Y","Completed","In Progress"),""))</f>
        <v/>
      </c>
      <c r="AC196" s="119">
        <f>IF($B196="","",IF(COUNTIFS('Approved Absences'!$A$2:$A$200,$B196,'Approved Absences'!$B$2:$B$200,"&lt;="&amp;INT('Control Center'!$B$3),'Approved Absences'!$C$2:$C$200,"&gt;="&amp;INT('Control Center'!$B$3))&gt;0,"Y","N"))</f>
        <v/>
      </c>
      <c r="AD196" s="119">
        <f>IF($B196="","",IF(AND($G196="Y",$AC196&lt;&gt;"Y",ISERROR(SEARCH(TEXT('Control Center'!$B$3,"ddd"),TRIM($D196)))),"Y","N"))</f>
        <v/>
      </c>
    </row>
    <row r="197" ht="14.25" customHeight="1" s="120">
      <c r="U197" s="227">
        <f>IF($B197="","",IF(AND($G197="Y",ISERROR(SEARCH(TEXT('Control Center'!$B$3,"ddd"),TRIM($D197)))),"Y","N"))</f>
        <v/>
      </c>
      <c r="V197" s="227">
        <f>IF($B197="","",IF(AND($U197="Y",OR($C197="3:45 AM",$C197="5:45 AM"),OR('Control Center'!$B$4="N",$K197&lt;&gt;"Y")),"Y","N"))</f>
        <v/>
      </c>
      <c r="W197" s="227">
        <f>IF($B197="","",IF(AND($U197="Y",OR($C197="12:15 PM",$C197="2:00 PM"),OR('Control Center'!$B$5="N",$K197&lt;&gt;"Y")),"Y","N"))</f>
        <v/>
      </c>
      <c r="X197" s="228" t="n"/>
      <c r="Y197" s="229" t="n"/>
      <c r="Z197" s="228" t="n"/>
      <c r="AA197" s="229" t="n"/>
      <c r="AB197" s="230">
        <f>IF($B197="","",IF($P197="Y",IF($Y197="Y","Completed","In Progress"),""))</f>
        <v/>
      </c>
      <c r="AC197" s="119">
        <f>IF($B197="","",IF(COUNTIFS('Approved Absences'!$A$2:$A$200,$B197,'Approved Absences'!$B$2:$B$200,"&lt;="&amp;INT('Control Center'!$B$3),'Approved Absences'!$C$2:$C$200,"&gt;="&amp;INT('Control Center'!$B$3))&gt;0,"Y","N"))</f>
        <v/>
      </c>
      <c r="AD197" s="119">
        <f>IF($B197="","",IF(AND($G197="Y",$AC197&lt;&gt;"Y",ISERROR(SEARCH(TEXT('Control Center'!$B$3,"ddd"),TRIM($D197)))),"Y","N"))</f>
        <v/>
      </c>
    </row>
    <row r="198" ht="14.25" customHeight="1" s="120">
      <c r="U198" s="227">
        <f>IF($B198="","",IF(AND($G198="Y",ISERROR(SEARCH(TEXT('Control Center'!$B$3,"ddd"),TRIM($D198)))),"Y","N"))</f>
        <v/>
      </c>
      <c r="V198" s="227">
        <f>IF($B198="","",IF(AND($U198="Y",OR($C198="3:45 AM",$C198="5:45 AM"),OR('Control Center'!$B$4="N",$K198&lt;&gt;"Y")),"Y","N"))</f>
        <v/>
      </c>
      <c r="W198" s="227">
        <f>IF($B198="","",IF(AND($U198="Y",OR($C198="12:15 PM",$C198="2:00 PM"),OR('Control Center'!$B$5="N",$K198&lt;&gt;"Y")),"Y","N"))</f>
        <v/>
      </c>
      <c r="X198" s="228" t="n"/>
      <c r="Y198" s="229" t="n"/>
      <c r="Z198" s="228" t="n"/>
      <c r="AA198" s="229" t="n"/>
      <c r="AB198" s="230">
        <f>IF($B198="","",IF($P198="Y",IF($Y198="Y","Completed","In Progress"),""))</f>
        <v/>
      </c>
      <c r="AC198" s="119">
        <f>IF($B198="","",IF(COUNTIFS('Approved Absences'!$A$2:$A$200,$B198,'Approved Absences'!$B$2:$B$200,"&lt;="&amp;INT('Control Center'!$B$3),'Approved Absences'!$C$2:$C$200,"&gt;="&amp;INT('Control Center'!$B$3))&gt;0,"Y","N"))</f>
        <v/>
      </c>
      <c r="AD198" s="119">
        <f>IF($B198="","",IF(AND($G198="Y",$AC198&lt;&gt;"Y",ISERROR(SEARCH(TEXT('Control Center'!$B$3,"ddd"),TRIM($D198)))),"Y","N"))</f>
        <v/>
      </c>
    </row>
    <row r="199" ht="14.25" customHeight="1" s="120">
      <c r="U199" s="227">
        <f>IF($B199="","",IF(AND($G199="Y",ISERROR(SEARCH(TEXT('Control Center'!$B$3,"ddd"),TRIM($D199)))),"Y","N"))</f>
        <v/>
      </c>
      <c r="V199" s="227">
        <f>IF($B199="","",IF(AND($U199="Y",OR($C199="3:45 AM",$C199="5:45 AM"),OR('Control Center'!$B$4="N",$K199&lt;&gt;"Y")),"Y","N"))</f>
        <v/>
      </c>
      <c r="W199" s="227">
        <f>IF($B199="","",IF(AND($U199="Y",OR($C199="12:15 PM",$C199="2:00 PM"),OR('Control Center'!$B$5="N",$K199&lt;&gt;"Y")),"Y","N"))</f>
        <v/>
      </c>
      <c r="X199" s="228" t="n"/>
      <c r="Y199" s="229" t="n"/>
      <c r="Z199" s="228" t="n"/>
      <c r="AA199" s="229" t="n"/>
      <c r="AB199" s="230">
        <f>IF($B199="","",IF($P199="Y",IF($Y199="Y","Completed","In Progress"),""))</f>
        <v/>
      </c>
      <c r="AC199" s="119">
        <f>IF($B199="","",IF(COUNTIFS('Approved Absences'!$A$2:$A$200,$B199,'Approved Absences'!$B$2:$B$200,"&lt;="&amp;INT('Control Center'!$B$3),'Approved Absences'!$C$2:$C$200,"&gt;="&amp;INT('Control Center'!$B$3))&gt;0,"Y","N"))</f>
        <v/>
      </c>
      <c r="AD199" s="119">
        <f>IF($B199="","",IF(AND($G199="Y",$AC199&lt;&gt;"Y",ISERROR(SEARCH(TEXT('Control Center'!$B$3,"ddd"),TRIM($D199)))),"Y","N"))</f>
        <v/>
      </c>
    </row>
    <row r="200" ht="14.25" customHeight="1" s="120">
      <c r="U200" s="227">
        <f>IF($B200="","",IF(AND($G200="Y",ISERROR(SEARCH(TEXT('Control Center'!$B$3,"ddd"),TRIM($D200)))),"Y","N"))</f>
        <v/>
      </c>
      <c r="V200" s="227">
        <f>IF($B200="","",IF(AND($U200="Y",OR($C200="3:45 AM",$C200="5:45 AM"),OR('Control Center'!$B$4="N",$K200&lt;&gt;"Y")),"Y","N"))</f>
        <v/>
      </c>
      <c r="W200" s="227">
        <f>IF($B200="","",IF(AND($U200="Y",OR($C200="12:15 PM",$C200="2:00 PM"),OR('Control Center'!$B$5="N",$K200&lt;&gt;"Y")),"Y","N"))</f>
        <v/>
      </c>
      <c r="X200" s="228" t="n"/>
      <c r="Y200" s="229" t="n"/>
      <c r="Z200" s="228" t="n"/>
      <c r="AA200" s="229" t="n"/>
      <c r="AB200" s="230">
        <f>IF($B200="","",IF($P200="Y",IF($Y200="Y","Completed","In Progress"),""))</f>
        <v/>
      </c>
      <c r="AC200" s="119">
        <f>IF($B200="","",IF(COUNTIFS('Approved Absences'!$A$2:$A$200,$B200,'Approved Absences'!$B$2:$B$200,"&lt;="&amp;INT('Control Center'!$B$3),'Approved Absences'!$C$2:$C$200,"&gt;="&amp;INT('Control Center'!$B$3))&gt;0,"Y","N"))</f>
        <v/>
      </c>
      <c r="AD200" s="119">
        <f>IF($B200="","",IF(AND($G200="Y",$AC200&lt;&gt;"Y",ISERROR(SEARCH(TEXT('Control Center'!$B$3,"ddd"),TRIM($D200)))),"Y","N"))</f>
        <v/>
      </c>
    </row>
  </sheetData>
  <conditionalFormatting sqref="AB2:AB200">
    <cfRule type="containsText" rank="0" priority="2" equalAverage="0" operator="containsText" aboveAverage="0" dxfId="9" text="Completed" percent="0" bottom="0">
      <formula>NOT(ISERROR(SEARCH("Completed",AB2)))</formula>
    </cfRule>
    <cfRule type="containsText" rank="0" priority="3" equalAverage="0" operator="containsText" aboveAverage="0" dxfId="10" text="Eligible" percent="0" bottom="0">
      <formula>NOT(ISERROR(SEARCH("Eligible",AB2)))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" activeCellId="0" sqref="H1"/>
    </sheetView>
  </sheetViews>
  <sheetFormatPr baseColWidth="8" defaultColWidth="9.109375" defaultRowHeight="14.25" zeroHeight="0" outlineLevelRow="0"/>
  <cols>
    <col width="21.67" customWidth="1" style="119" min="1" max="1"/>
    <col width="32" customWidth="1" style="119" min="2" max="2"/>
    <col width="36.56" customWidth="1" style="119" min="3" max="3"/>
    <col width="21.67" customWidth="1" style="119" min="4" max="8"/>
    <col width="9.109999999999999" customWidth="1" style="119" min="9" max="16384"/>
  </cols>
  <sheetData>
    <row r="1" ht="15" customHeight="1" s="120">
      <c r="A1" s="219" t="inlineStr">
        <is>
          <t>Display Order</t>
        </is>
      </c>
      <c r="B1" s="219" t="inlineStr">
        <is>
          <t>Area</t>
        </is>
      </c>
      <c r="C1" s="219" t="inlineStr">
        <is>
          <t>Position</t>
        </is>
      </c>
      <c r="D1" s="219" t="inlineStr">
        <is>
          <t>Legacy Tier</t>
        </is>
      </c>
      <c r="E1" s="219" t="inlineStr">
        <is>
          <t>3:45 Opening Status</t>
        </is>
      </c>
      <c r="F1" s="219" t="inlineStr">
        <is>
          <t>PM Handoff</t>
        </is>
      </c>
      <c r="G1" s="219" t="inlineStr">
        <is>
          <t>Client Required</t>
        </is>
      </c>
      <c r="H1" s="219" t="inlineStr">
        <is>
          <t>Start of Day Rule</t>
        </is>
      </c>
    </row>
    <row r="2" ht="14.25" customHeight="1" s="120">
      <c r="A2" s="125" t="n">
        <v>1</v>
      </c>
      <c r="B2" s="125" t="inlineStr">
        <is>
          <t>Main Security Checkpoint</t>
        </is>
      </c>
      <c r="C2" s="125" t="inlineStr">
        <is>
          <t>Front Entrance (#1)</t>
        </is>
      </c>
      <c r="D2" s="125" t="inlineStr">
        <is>
          <t>Tier 1</t>
        </is>
      </c>
      <c r="E2" s="125" t="inlineStr">
        <is>
          <t>Required</t>
        </is>
      </c>
      <c r="F2" s="125" t="inlineStr">
        <is>
          <t>Covered by 12:15 pm</t>
        </is>
      </c>
      <c r="G2" s="125" t="inlineStr">
        <is>
          <t>Y</t>
        </is>
      </c>
      <c r="H2" s="125" t="inlineStr">
        <is>
          <t>HARD 3:45 OPEN</t>
        </is>
      </c>
    </row>
    <row r="3" ht="14.25" customHeight="1" s="120">
      <c r="A3" s="125" t="n">
        <v>2</v>
      </c>
      <c r="B3" s="125" t="inlineStr">
        <is>
          <t>Main Security Checkpoint</t>
        </is>
      </c>
      <c r="C3" s="125" t="inlineStr">
        <is>
          <t>Front Entrance (#2)</t>
        </is>
      </c>
      <c r="D3" s="125" t="inlineStr">
        <is>
          <t>Tier 2</t>
        </is>
      </c>
      <c r="E3" s="125" t="inlineStr">
        <is>
          <t>Optional</t>
        </is>
      </c>
      <c r="F3" s="125" t="inlineStr">
        <is>
          <t>Covered by 2:00 pm</t>
        </is>
      </c>
      <c r="G3" s="125" t="inlineStr">
        <is>
          <t>Y</t>
        </is>
      </c>
      <c r="H3" s="125" t="inlineStr">
        <is>
          <t>Optional</t>
        </is>
      </c>
    </row>
    <row r="4" ht="14.25" customHeight="1" s="120">
      <c r="A4" s="125" t="n">
        <v>3</v>
      </c>
      <c r="B4" s="125" t="inlineStr">
        <is>
          <t>Main Security Checkpoint</t>
        </is>
      </c>
      <c r="C4" s="125" t="inlineStr">
        <is>
          <t>ADA Entrance (1)</t>
        </is>
      </c>
      <c r="D4" s="125" t="inlineStr">
        <is>
          <t>Tier 1</t>
        </is>
      </c>
      <c r="E4" s="125" t="inlineStr">
        <is>
          <t>Required</t>
        </is>
      </c>
      <c r="F4" s="125" t="inlineStr">
        <is>
          <t>Covered by 12:15 pm</t>
        </is>
      </c>
      <c r="G4" s="125" t="inlineStr">
        <is>
          <t>Y</t>
        </is>
      </c>
      <c r="H4" s="125" t="inlineStr">
        <is>
          <t>HARD 3:45 OPEN</t>
        </is>
      </c>
    </row>
    <row r="5" ht="14.25" customHeight="1" s="120">
      <c r="A5" s="125" t="n">
        <v>4</v>
      </c>
      <c r="B5" s="125" t="inlineStr">
        <is>
          <t>Main Security Checkpoint</t>
        </is>
      </c>
      <c r="C5" s="125" t="inlineStr">
        <is>
          <t>Lanes 17-18 (1)</t>
        </is>
      </c>
      <c r="D5" s="125" t="inlineStr">
        <is>
          <t>Tier 1</t>
        </is>
      </c>
      <c r="E5" s="125" t="inlineStr">
        <is>
          <t>Required</t>
        </is>
      </c>
      <c r="F5" s="125" t="inlineStr">
        <is>
          <t>Covered by 12:15 pm</t>
        </is>
      </c>
      <c r="G5" s="125" t="inlineStr">
        <is>
          <t>Y</t>
        </is>
      </c>
      <c r="H5" s="125" t="inlineStr">
        <is>
          <t>HARD 3:45 OPEN</t>
        </is>
      </c>
    </row>
    <row r="6" ht="14.25" customHeight="1" s="120">
      <c r="A6" s="125" t="n">
        <v>5</v>
      </c>
      <c r="B6" s="125" t="inlineStr">
        <is>
          <t>Main Security Checkpoint</t>
        </is>
      </c>
      <c r="C6" s="125" t="inlineStr">
        <is>
          <t>Inside Center (1)</t>
        </is>
      </c>
      <c r="D6" s="125" t="inlineStr">
        <is>
          <t>Tier 1</t>
        </is>
      </c>
      <c r="E6" s="125" t="inlineStr">
        <is>
          <t>Required</t>
        </is>
      </c>
      <c r="F6" s="125" t="inlineStr">
        <is>
          <t>Covered by 12:15 pm</t>
        </is>
      </c>
      <c r="G6" s="125" t="inlineStr">
        <is>
          <t>Y</t>
        </is>
      </c>
      <c r="H6" s="125" t="inlineStr">
        <is>
          <t>HARD 3:45 OPEN</t>
        </is>
      </c>
    </row>
    <row r="7" ht="14.25" customHeight="1" s="120">
      <c r="A7" s="125" t="n">
        <v>6</v>
      </c>
      <c r="B7" s="125" t="inlineStr">
        <is>
          <t>Main Security Checkpoint</t>
        </is>
      </c>
      <c r="C7" s="125" t="inlineStr">
        <is>
          <t>Lanes 1-3/Pre-Check (1)</t>
        </is>
      </c>
      <c r="D7" s="125" t="inlineStr">
        <is>
          <t>Tier 1</t>
        </is>
      </c>
      <c r="E7" s="125" t="inlineStr">
        <is>
          <t>Starts at 5:45 am</t>
        </is>
      </c>
      <c r="F7" s="125" t="inlineStr">
        <is>
          <t>Covered by 2:00 pm</t>
        </is>
      </c>
      <c r="G7" s="125" t="inlineStr">
        <is>
          <t>Y</t>
        </is>
      </c>
      <c r="H7" s="125" t="inlineStr">
        <is>
          <t>START 5:45</t>
        </is>
      </c>
    </row>
    <row r="8" ht="14.25" customHeight="1" s="120">
      <c r="A8" s="125" t="n">
        <v>7</v>
      </c>
      <c r="B8" s="125" t="inlineStr">
        <is>
          <t>Atrium</t>
        </is>
      </c>
      <c r="C8" s="125" t="inlineStr">
        <is>
          <t>KIA (1)</t>
        </is>
      </c>
      <c r="D8" s="125" t="inlineStr">
        <is>
          <t>Tier 4</t>
        </is>
      </c>
      <c r="E8" s="125" t="inlineStr">
        <is>
          <t>Optional</t>
        </is>
      </c>
      <c r="F8" s="125" t="inlineStr">
        <is>
          <t>Optional</t>
        </is>
      </c>
      <c r="G8" s="125" t="inlineStr">
        <is>
          <t>Y</t>
        </is>
      </c>
      <c r="H8" s="125" t="inlineStr">
        <is>
          <t>Optional</t>
        </is>
      </c>
    </row>
    <row r="9" ht="14.25" customHeight="1" s="120">
      <c r="A9" s="125" t="n">
        <v>8</v>
      </c>
      <c r="B9" s="125" t="inlineStr">
        <is>
          <t>South Security Checkpoint</t>
        </is>
      </c>
      <c r="C9" s="125" t="inlineStr">
        <is>
          <t>Checkpoint - Front Entrance (#1)</t>
        </is>
      </c>
      <c r="D9" s="125" t="inlineStr">
        <is>
          <t>Tier 1</t>
        </is>
      </c>
      <c r="E9" s="125" t="inlineStr">
        <is>
          <t>Required</t>
        </is>
      </c>
      <c r="F9" s="125" t="inlineStr">
        <is>
          <t>Covered by 12:15 pm</t>
        </is>
      </c>
      <c r="G9" s="125" t="inlineStr">
        <is>
          <t>Y</t>
        </is>
      </c>
      <c r="H9" s="125" t="inlineStr">
        <is>
          <t>HARD 3:45 OPEN</t>
        </is>
      </c>
    </row>
    <row r="10" ht="14.25" customHeight="1" s="120">
      <c r="A10" s="125" t="n">
        <v>9</v>
      </c>
      <c r="B10" s="125" t="inlineStr">
        <is>
          <t>South Security Checkpoint</t>
        </is>
      </c>
      <c r="C10" s="125" t="inlineStr">
        <is>
          <t>Checkpoint - Front Entrance (#2)</t>
        </is>
      </c>
      <c r="D10" s="125" t="inlineStr">
        <is>
          <t>Tier 2</t>
        </is>
      </c>
      <c r="E10" s="125" t="inlineStr">
        <is>
          <t>Required</t>
        </is>
      </c>
      <c r="F10" s="125" t="inlineStr">
        <is>
          <t>Covered by 2:00 pm</t>
        </is>
      </c>
      <c r="G10" s="125" t="inlineStr">
        <is>
          <t>Y</t>
        </is>
      </c>
      <c r="H10" s="125" t="inlineStr">
        <is>
          <t>HARD 3:45 OPEN</t>
        </is>
      </c>
    </row>
    <row r="11" ht="14.25" customHeight="1" s="120">
      <c r="A11" s="125" t="n">
        <v>10</v>
      </c>
      <c r="B11" s="125" t="inlineStr">
        <is>
          <t>South Security Checkpoint</t>
        </is>
      </c>
      <c r="C11" s="125" t="inlineStr">
        <is>
          <t>Checkpoint - Inside (#1)</t>
        </is>
      </c>
      <c r="D11" s="125" t="inlineStr">
        <is>
          <t>Tier 1</t>
        </is>
      </c>
      <c r="E11" s="125" t="inlineStr">
        <is>
          <t>Required</t>
        </is>
      </c>
      <c r="F11" s="125" t="inlineStr">
        <is>
          <t>Covered by 12:15 pm</t>
        </is>
      </c>
      <c r="G11" s="125" t="inlineStr">
        <is>
          <t>Y</t>
        </is>
      </c>
      <c r="H11" s="125" t="inlineStr">
        <is>
          <t>HARD 3:45 OPEN</t>
        </is>
      </c>
    </row>
    <row r="12" ht="14.25" customHeight="1" s="120">
      <c r="A12" s="125" t="n">
        <v>11</v>
      </c>
      <c r="B12" s="125" t="inlineStr">
        <is>
          <t>South Security Checkpoint</t>
        </is>
      </c>
      <c r="C12" s="125" t="inlineStr">
        <is>
          <t>Checkpoint - Inside (#2)</t>
        </is>
      </c>
      <c r="D12" s="125" t="inlineStr">
        <is>
          <t>Tier 2</t>
        </is>
      </c>
      <c r="E12" s="125" t="inlineStr">
        <is>
          <t>Starts at 5:45 am</t>
        </is>
      </c>
      <c r="F12" s="125" t="inlineStr">
        <is>
          <t>Not staffed</t>
        </is>
      </c>
      <c r="G12" s="125" t="inlineStr">
        <is>
          <t>Y</t>
        </is>
      </c>
      <c r="H12" s="125" t="inlineStr">
        <is>
          <t>START 5:45</t>
        </is>
      </c>
    </row>
    <row r="13" ht="14.25" customHeight="1" s="120">
      <c r="A13" s="125" t="n">
        <v>12</v>
      </c>
      <c r="B13" s="125" t="inlineStr">
        <is>
          <t>South Security Checkpoint</t>
        </is>
      </c>
      <c r="C13" s="125" t="inlineStr">
        <is>
          <t>Hallway Pre-check Overflow (1)</t>
        </is>
      </c>
      <c r="D13" s="125" t="inlineStr">
        <is>
          <t>Tier 2</t>
        </is>
      </c>
      <c r="E13" s="125" t="inlineStr">
        <is>
          <t>Starts at 5:45 am</t>
        </is>
      </c>
      <c r="F13" s="125" t="inlineStr">
        <is>
          <t>Covered by either</t>
        </is>
      </c>
      <c r="G13" s="125" t="inlineStr">
        <is>
          <t>Y</t>
        </is>
      </c>
      <c r="H13" s="125" t="inlineStr">
        <is>
          <t>START 5:45</t>
        </is>
      </c>
    </row>
    <row r="14" ht="14.25" customHeight="1" s="120">
      <c r="A14" s="125" t="n">
        <v>13</v>
      </c>
      <c r="B14" s="125" t="inlineStr">
        <is>
          <t>South Security Checkpoint</t>
        </is>
      </c>
      <c r="C14" s="125" t="inlineStr">
        <is>
          <t>South Restroom (1)</t>
        </is>
      </c>
      <c r="D14" s="125" t="inlineStr">
        <is>
          <t>Tier 1</t>
        </is>
      </c>
      <c r="E14" s="125" t="inlineStr">
        <is>
          <t>Starts at 5:45 am</t>
        </is>
      </c>
      <c r="F14" s="125" t="inlineStr">
        <is>
          <t>Covered by either</t>
        </is>
      </c>
      <c r="G14" s="125" t="inlineStr">
        <is>
          <t>Y</t>
        </is>
      </c>
      <c r="H14" s="125" t="inlineStr">
        <is>
          <t>START 5:45</t>
        </is>
      </c>
    </row>
    <row r="15" ht="14.25" customHeight="1" s="120">
      <c r="A15" s="125" t="n">
        <v>14</v>
      </c>
      <c r="B15" s="125" t="inlineStr">
        <is>
          <t>South Security Checkpoint</t>
        </is>
      </c>
      <c r="C15" s="125" t="inlineStr">
        <is>
          <t>IHOP (1)</t>
        </is>
      </c>
      <c r="D15" s="125" t="inlineStr">
        <is>
          <t>Tier 3</t>
        </is>
      </c>
      <c r="E15" s="125" t="inlineStr">
        <is>
          <t>Starts at 5:45 am</t>
        </is>
      </c>
      <c r="F15" s="125" t="inlineStr">
        <is>
          <t>Covered by either</t>
        </is>
      </c>
      <c r="G15" s="125" t="inlineStr">
        <is>
          <t>Y</t>
        </is>
      </c>
      <c r="H15" s="125" t="inlineStr">
        <is>
          <t>START 5:45</t>
        </is>
      </c>
    </row>
    <row r="16" ht="14.25" customHeight="1" s="120">
      <c r="A16" s="125" t="n">
        <v>15</v>
      </c>
      <c r="B16" s="125" t="inlineStr">
        <is>
          <t>North Security Checkpoint</t>
        </is>
      </c>
      <c r="C16" s="125" t="inlineStr">
        <is>
          <t>Checkpoint - Inside (1)</t>
        </is>
      </c>
      <c r="D16" s="125" t="inlineStr">
        <is>
          <t>Tier 1</t>
        </is>
      </c>
      <c r="E16" s="125" t="inlineStr">
        <is>
          <t>Required</t>
        </is>
      </c>
      <c r="F16" s="125" t="inlineStr">
        <is>
          <t>Covered by 12:15 pm</t>
        </is>
      </c>
      <c r="G16" s="125" t="inlineStr">
        <is>
          <t>Y</t>
        </is>
      </c>
      <c r="H16" s="125" t="inlineStr">
        <is>
          <t>HARD 3:45 OPEN</t>
        </is>
      </c>
    </row>
    <row r="17" ht="14.25" customHeight="1" s="120">
      <c r="A17" s="125" t="n">
        <v>16</v>
      </c>
      <c r="B17" s="125" t="inlineStr">
        <is>
          <t>North Security Checkpoint</t>
        </is>
      </c>
      <c r="C17" s="125" t="inlineStr">
        <is>
          <t>North Corridor (1)</t>
        </is>
      </c>
      <c r="D17" s="125" t="inlineStr">
        <is>
          <t>Tier 1</t>
        </is>
      </c>
      <c r="E17" s="125" t="inlineStr">
        <is>
          <t>Required</t>
        </is>
      </c>
      <c r="F17" s="125" t="inlineStr">
        <is>
          <t>Covered by 12:15 pm</t>
        </is>
      </c>
      <c r="G17" s="125" t="inlineStr">
        <is>
          <t>Y</t>
        </is>
      </c>
      <c r="H17" s="125" t="inlineStr">
        <is>
          <t>HARD 3:45 OPEN</t>
        </is>
      </c>
    </row>
    <row r="18" ht="14.25" customHeight="1" s="120">
      <c r="A18" s="125" t="n">
        <v>17</v>
      </c>
      <c r="B18" s="125" t="inlineStr">
        <is>
          <t>North Security Checkpoint</t>
        </is>
      </c>
      <c r="C18" s="125" t="inlineStr">
        <is>
          <t>North Restroom Hallway (#1)</t>
        </is>
      </c>
      <c r="D18" s="125" t="inlineStr">
        <is>
          <t>Tier 1</t>
        </is>
      </c>
      <c r="E18" s="125" t="inlineStr">
        <is>
          <t>Required</t>
        </is>
      </c>
      <c r="F18" s="125" t="inlineStr">
        <is>
          <t>Covered by 12:15 pm</t>
        </is>
      </c>
      <c r="G18" s="125" t="inlineStr">
        <is>
          <t>Y</t>
        </is>
      </c>
      <c r="H18" s="125" t="inlineStr">
        <is>
          <t>HARD 3:45 OPEN</t>
        </is>
      </c>
    </row>
    <row r="19" ht="14.25" customHeight="1" s="120">
      <c r="A19" s="125" t="n">
        <v>18</v>
      </c>
      <c r="B19" s="125" t="inlineStr">
        <is>
          <t>North Security Checkpoint</t>
        </is>
      </c>
      <c r="C19" s="125" t="inlineStr">
        <is>
          <t>North Restroom Hallway (#2)</t>
        </is>
      </c>
      <c r="D19" s="125" t="inlineStr">
        <is>
          <t>Tier 3</t>
        </is>
      </c>
      <c r="E19" s="125" t="inlineStr">
        <is>
          <t>Optional</t>
        </is>
      </c>
      <c r="F19" s="125" t="inlineStr">
        <is>
          <t>Covered by 2:00 pm</t>
        </is>
      </c>
      <c r="G19" s="125" t="inlineStr">
        <is>
          <t>Y</t>
        </is>
      </c>
      <c r="H19" s="125" t="inlineStr">
        <is>
          <t>Optional</t>
        </is>
      </c>
    </row>
    <row r="20" ht="14.25" customHeight="1" s="120">
      <c r="A20" s="125" t="n">
        <v>19</v>
      </c>
      <c r="B20" s="125" t="inlineStr">
        <is>
          <t>North Security Checkpoint</t>
        </is>
      </c>
      <c r="C20" s="125" t="inlineStr">
        <is>
          <t>We Juice It (1)</t>
        </is>
      </c>
      <c r="D20" s="125" t="inlineStr">
        <is>
          <t>Tier 3</t>
        </is>
      </c>
      <c r="E20" s="125" t="inlineStr">
        <is>
          <t>Starts at 5:45 am</t>
        </is>
      </c>
      <c r="F20" s="125" t="inlineStr">
        <is>
          <t>Covered by either</t>
        </is>
      </c>
      <c r="G20" s="125" t="inlineStr">
        <is>
          <t>Y</t>
        </is>
      </c>
      <c r="H20" s="125" t="inlineStr">
        <is>
          <t>START 5:45</t>
        </is>
      </c>
    </row>
    <row r="21" ht="28.5" customHeight="1" s="120">
      <c r="A21" s="125" t="n">
        <v>20</v>
      </c>
      <c r="B21" s="125" t="inlineStr">
        <is>
          <t>Lower North Security Checkpoint</t>
        </is>
      </c>
      <c r="C21" s="125" t="inlineStr">
        <is>
          <t>Checkpoint - Inside (1)</t>
        </is>
      </c>
      <c r="D21" s="125" t="inlineStr">
        <is>
          <t>Tier 1</t>
        </is>
      </c>
      <c r="E21" s="125" t="inlineStr">
        <is>
          <t>Required</t>
        </is>
      </c>
      <c r="F21" s="125" t="inlineStr">
        <is>
          <t>Covered by 12:15 pm</t>
        </is>
      </c>
      <c r="G21" s="125" t="inlineStr">
        <is>
          <t>Y</t>
        </is>
      </c>
      <c r="H21" s="125" t="inlineStr">
        <is>
          <t>HARD 3:45 OPEN</t>
        </is>
      </c>
    </row>
    <row r="22" ht="28.5" customHeight="1" s="120">
      <c r="A22" s="125" t="n">
        <v>21</v>
      </c>
      <c r="B22" s="125" t="inlineStr">
        <is>
          <t>Lower North Security Checkpoint</t>
        </is>
      </c>
      <c r="C22" s="125" t="inlineStr">
        <is>
          <t>N5 Door (1)</t>
        </is>
      </c>
      <c r="D22" s="125" t="inlineStr">
        <is>
          <t>Tier 1</t>
        </is>
      </c>
      <c r="E22" s="125" t="inlineStr">
        <is>
          <t>Required</t>
        </is>
      </c>
      <c r="F22" s="125" t="inlineStr">
        <is>
          <t>Covered by 12:15 pm</t>
        </is>
      </c>
      <c r="G22" s="125" t="inlineStr">
        <is>
          <t>Y</t>
        </is>
      </c>
      <c r="H22" s="125" t="inlineStr">
        <is>
          <t>HARD 3:45 OPEN</t>
        </is>
      </c>
    </row>
    <row r="23" ht="28.5" customHeight="1" s="120">
      <c r="A23" s="125" t="n">
        <v>22</v>
      </c>
      <c r="B23" s="125" t="inlineStr">
        <is>
          <t>Lower North Security Checkpoint</t>
        </is>
      </c>
      <c r="C23" s="125" t="inlineStr">
        <is>
          <t>LN2 Elevator (1)</t>
        </is>
      </c>
      <c r="D23" s="125" t="inlineStr">
        <is>
          <t>Tier 2</t>
        </is>
      </c>
      <c r="E23" s="125" t="inlineStr">
        <is>
          <t>Starts at 5:45 am</t>
        </is>
      </c>
      <c r="F23" s="125" t="inlineStr">
        <is>
          <t>Covered by 2:00 pm</t>
        </is>
      </c>
      <c r="G23" s="125" t="inlineStr">
        <is>
          <t>Y</t>
        </is>
      </c>
      <c r="H23" s="125" t="inlineStr">
        <is>
          <t>START 5:45</t>
        </is>
      </c>
    </row>
    <row r="24" ht="14.25" customHeight="1" s="120">
      <c r="A24" s="125" t="n">
        <v>23</v>
      </c>
      <c r="B24" s="125" t="inlineStr">
        <is>
          <t>AGT Level</t>
        </is>
      </c>
      <c r="C24" s="125" t="inlineStr">
        <is>
          <t>T Platform Train Doors (#1)</t>
        </is>
      </c>
      <c r="D24" s="125" t="inlineStr">
        <is>
          <t>Tier 1</t>
        </is>
      </c>
      <c r="E24" s="125" t="inlineStr">
        <is>
          <t>Starts at 5:45 am</t>
        </is>
      </c>
      <c r="F24" s="125" t="inlineStr">
        <is>
          <t>Covered by either</t>
        </is>
      </c>
      <c r="G24" s="125" t="inlineStr">
        <is>
          <t>Y</t>
        </is>
      </c>
      <c r="H24" s="125" t="inlineStr">
        <is>
          <t>START 5:45</t>
        </is>
      </c>
    </row>
    <row r="25" ht="14.25" customHeight="1" s="120">
      <c r="A25" s="125" t="n">
        <v>24</v>
      </c>
      <c r="B25" s="125" t="inlineStr">
        <is>
          <t>AGT Level</t>
        </is>
      </c>
      <c r="C25" s="125" t="inlineStr">
        <is>
          <t>T Platform Train Doors (#2)</t>
        </is>
      </c>
      <c r="D25" s="125" t="inlineStr">
        <is>
          <t>Tier 2</t>
        </is>
      </c>
      <c r="E25" s="125" t="inlineStr">
        <is>
          <t>Starts at 5:45 am</t>
        </is>
      </c>
      <c r="F25" s="125" t="inlineStr">
        <is>
          <t>Covered by either</t>
        </is>
      </c>
      <c r="G25" s="125" t="inlineStr">
        <is>
          <t>Y</t>
        </is>
      </c>
      <c r="H25" s="125" t="inlineStr">
        <is>
          <t>START 5:45</t>
        </is>
      </c>
    </row>
    <row r="26" ht="14.25" customHeight="1" s="120">
      <c r="A26" s="125" t="n">
        <v>25</v>
      </c>
      <c r="B26" s="125" t="inlineStr">
        <is>
          <t>AGT Level</t>
        </is>
      </c>
      <c r="C26" s="125" t="inlineStr">
        <is>
          <t>Domestic Baggage Claim (1)</t>
        </is>
      </c>
      <c r="D26" s="125" t="inlineStr">
        <is>
          <t>Tier 1</t>
        </is>
      </c>
      <c r="E26" s="125" t="inlineStr">
        <is>
          <t>Starts at 5:45 am</t>
        </is>
      </c>
      <c r="F26" s="125" t="inlineStr">
        <is>
          <t>Covered by either</t>
        </is>
      </c>
      <c r="G26" s="125" t="inlineStr">
        <is>
          <t>Y</t>
        </is>
      </c>
      <c r="H26" s="125" t="inlineStr">
        <is>
          <t>START 5:45</t>
        </is>
      </c>
    </row>
    <row r="27" ht="14.25" customHeight="1" s="120">
      <c r="A27" s="125" t="n">
        <v>26</v>
      </c>
      <c r="B27" s="125" t="inlineStr">
        <is>
          <t>AGT Level</t>
        </is>
      </c>
      <c r="C27" s="125" t="inlineStr">
        <is>
          <t>T Bridge Landing (#1)</t>
        </is>
      </c>
      <c r="D27" s="125" t="inlineStr">
        <is>
          <t>Tier 1</t>
        </is>
      </c>
      <c r="E27" s="125" t="inlineStr">
        <is>
          <t>Starts at 5:45 am</t>
        </is>
      </c>
      <c r="F27" s="125" t="inlineStr">
        <is>
          <t>Covered by either</t>
        </is>
      </c>
      <c r="G27" s="125" t="inlineStr">
        <is>
          <t>Y</t>
        </is>
      </c>
      <c r="H27" s="125" t="inlineStr">
        <is>
          <t>START 5:45</t>
        </is>
      </c>
    </row>
    <row r="28" ht="14.25" customHeight="1" s="120">
      <c r="A28" s="125" t="n">
        <v>27</v>
      </c>
      <c r="B28" s="125" t="inlineStr">
        <is>
          <t>AGT Level</t>
        </is>
      </c>
      <c r="C28" s="125" t="inlineStr">
        <is>
          <t>T Bridge Landing (#2)</t>
        </is>
      </c>
      <c r="D28" s="125" t="inlineStr">
        <is>
          <t>Tier 2</t>
        </is>
      </c>
      <c r="E28" s="125" t="inlineStr">
        <is>
          <t>Starts at 5:45 am</t>
        </is>
      </c>
      <c r="F28" s="125" t="inlineStr">
        <is>
          <t>Covered by either</t>
        </is>
      </c>
      <c r="G28" s="125" t="inlineStr">
        <is>
          <t>Y</t>
        </is>
      </c>
      <c r="H28" s="125" t="inlineStr">
        <is>
          <t>START 5:45</t>
        </is>
      </c>
    </row>
    <row r="29" ht="14.25" customHeight="1" s="120">
      <c r="A29" s="125" t="n">
        <v>28</v>
      </c>
      <c r="B29" s="125" t="inlineStr">
        <is>
          <t>AGT Level</t>
        </is>
      </c>
      <c r="C29" s="125" t="inlineStr">
        <is>
          <t>Alpha West (1)</t>
        </is>
      </c>
      <c r="D29" s="125" t="inlineStr">
        <is>
          <t>Tier 4</t>
        </is>
      </c>
      <c r="E29" s="125" t="inlineStr">
        <is>
          <t>Starts at 5:45 am</t>
        </is>
      </c>
      <c r="F29" s="125" t="inlineStr">
        <is>
          <t>Covered by either</t>
        </is>
      </c>
      <c r="G29" s="125" t="inlineStr">
        <is>
          <t>Y</t>
        </is>
      </c>
      <c r="H29" s="125" t="inlineStr">
        <is>
          <t>START 5:45</t>
        </is>
      </c>
    </row>
    <row r="30" ht="14.25" customHeight="1" s="120">
      <c r="A30" s="125" t="n">
        <v>29</v>
      </c>
      <c r="B30" s="125" t="inlineStr">
        <is>
          <t>AGT Level</t>
        </is>
      </c>
      <c r="C30" s="125" t="inlineStr">
        <is>
          <t>Bravo West (1)</t>
        </is>
      </c>
      <c r="D30" s="125" t="inlineStr">
        <is>
          <t>Tier 4</t>
        </is>
      </c>
      <c r="E30" s="125" t="inlineStr">
        <is>
          <t>Starts at 5:45 am</t>
        </is>
      </c>
      <c r="F30" s="125" t="inlineStr">
        <is>
          <t>Covered by either</t>
        </is>
      </c>
      <c r="G30" s="125" t="inlineStr">
        <is>
          <t>Y</t>
        </is>
      </c>
      <c r="H30" s="125" t="inlineStr">
        <is>
          <t>START 5:45</t>
        </is>
      </c>
    </row>
    <row r="31" ht="14.25" customHeight="1" s="120">
      <c r="A31" s="125" t="n">
        <v>30</v>
      </c>
      <c r="B31" s="125" t="inlineStr">
        <is>
          <t>AGT Level</t>
        </is>
      </c>
      <c r="C31" s="125" t="inlineStr">
        <is>
          <t>Charlie West (1)</t>
        </is>
      </c>
      <c r="D31" s="125" t="inlineStr">
        <is>
          <t>Tier 4</t>
        </is>
      </c>
      <c r="E31" s="125" t="inlineStr">
        <is>
          <t>Starts at 5:45 am</t>
        </is>
      </c>
      <c r="F31" s="125" t="inlineStr">
        <is>
          <t>Covered by either</t>
        </is>
      </c>
      <c r="G31" s="125" t="inlineStr">
        <is>
          <t>Y</t>
        </is>
      </c>
      <c r="H31" s="125" t="inlineStr">
        <is>
          <t>START 5:45</t>
        </is>
      </c>
    </row>
    <row r="32" ht="14.25" customHeight="1" s="120">
      <c r="A32" s="125" t="n">
        <v>31</v>
      </c>
      <c r="B32" s="125" t="inlineStr">
        <is>
          <t>AGT Level</t>
        </is>
      </c>
      <c r="C32" s="125" t="inlineStr">
        <is>
          <t>Delta West (1)</t>
        </is>
      </c>
      <c r="D32" s="125" t="inlineStr">
        <is>
          <t>Tier 4</t>
        </is>
      </c>
      <c r="E32" s="125" t="inlineStr">
        <is>
          <t>Starts at 5:45 am</t>
        </is>
      </c>
      <c r="F32" s="125" t="inlineStr">
        <is>
          <t>Covered by either</t>
        </is>
      </c>
      <c r="G32" s="125" t="inlineStr">
        <is>
          <t>Y</t>
        </is>
      </c>
      <c r="H32" s="125" t="inlineStr">
        <is>
          <t>START 5:45</t>
        </is>
      </c>
    </row>
    <row r="33" ht="14.25" customHeight="1" s="120">
      <c r="A33" s="125" t="n">
        <v>32</v>
      </c>
      <c r="B33" s="125" t="inlineStr">
        <is>
          <t>Information Desk</t>
        </is>
      </c>
      <c r="C33" s="125" t="inlineStr">
        <is>
          <t>Information Desk Personnel</t>
        </is>
      </c>
      <c r="D33" s="125" t="inlineStr">
        <is>
          <t>Tier 1</t>
        </is>
      </c>
      <c r="E33" s="125" t="inlineStr">
        <is>
          <t>Required</t>
        </is>
      </c>
      <c r="F33" s="125" t="inlineStr">
        <is>
          <t>Covered by either</t>
        </is>
      </c>
      <c r="G33" s="125" t="inlineStr">
        <is>
          <t>Y</t>
        </is>
      </c>
      <c r="H33" s="125" t="inlineStr">
        <is>
          <t>HARD 3:45 OPEN</t>
        </is>
      </c>
    </row>
    <row r="34" ht="14.25" customHeight="1" s="120">
      <c r="A34" s="125" t="n">
        <v>33</v>
      </c>
      <c r="B34" s="125" t="inlineStr">
        <is>
          <t>North Security Checkpoint</t>
        </is>
      </c>
      <c r="C34" s="125" t="inlineStr">
        <is>
          <t>North Divesting (#1)</t>
        </is>
      </c>
      <c r="D34" s="125" t="inlineStr">
        <is>
          <t>Tier 1</t>
        </is>
      </c>
      <c r="E34" s="125" t="inlineStr">
        <is>
          <t>Required</t>
        </is>
      </c>
      <c r="F34" s="125" t="inlineStr">
        <is>
          <t>Covered by 12:15 pm</t>
        </is>
      </c>
      <c r="G34" s="125" t="inlineStr">
        <is>
          <t>Y</t>
        </is>
      </c>
      <c r="H34" s="125" t="inlineStr">
        <is>
          <t>HARD 3:45 OPEN</t>
        </is>
      </c>
    </row>
    <row r="35" ht="14.25" customHeight="1" s="120">
      <c r="A35" s="125" t="n">
        <v>34</v>
      </c>
      <c r="B35" s="125" t="inlineStr">
        <is>
          <t>North Security Checkpoint</t>
        </is>
      </c>
      <c r="C35" s="125" t="inlineStr">
        <is>
          <t>North Divesting (#2)</t>
        </is>
      </c>
      <c r="D35" s="125" t="inlineStr">
        <is>
          <t>Tier 1</t>
        </is>
      </c>
      <c r="E35" s="125" t="inlineStr">
        <is>
          <t>Required</t>
        </is>
      </c>
      <c r="F35" s="125" t="inlineStr">
        <is>
          <t>Covered by 12:15 pm</t>
        </is>
      </c>
      <c r="G35" s="125" t="inlineStr">
        <is>
          <t>Y</t>
        </is>
      </c>
      <c r="H35" s="125" t="inlineStr">
        <is>
          <t>HARD 3:45 OPEN</t>
        </is>
      </c>
    </row>
    <row r="36" ht="14.25" customHeight="1" s="120">
      <c r="A36" s="125" t="n">
        <v>35</v>
      </c>
      <c r="B36" s="125" t="inlineStr">
        <is>
          <t>North Security Checkpoint</t>
        </is>
      </c>
      <c r="C36" s="125" t="inlineStr">
        <is>
          <t>North Divesting (#3)</t>
        </is>
      </c>
      <c r="D36" s="125" t="inlineStr">
        <is>
          <t>Tier 1</t>
        </is>
      </c>
      <c r="E36" s="125" t="inlineStr">
        <is>
          <t>Starts at 5:45 am</t>
        </is>
      </c>
      <c r="F36" s="125" t="inlineStr">
        <is>
          <t>Covered by 2:00 pm</t>
        </is>
      </c>
      <c r="G36" s="125" t="inlineStr">
        <is>
          <t>Y</t>
        </is>
      </c>
      <c r="H36" s="125" t="inlineStr">
        <is>
          <t>START 5:45</t>
        </is>
      </c>
    </row>
    <row r="37" ht="14.25" customHeight="1" s="120">
      <c r="A37" s="125" t="n">
        <v>36</v>
      </c>
      <c r="B37" s="125" t="inlineStr">
        <is>
          <t>North Security Checkpoint</t>
        </is>
      </c>
      <c r="C37" s="125" t="inlineStr">
        <is>
          <t>North Divesting (#4)</t>
        </is>
      </c>
      <c r="D37" s="125" t="inlineStr">
        <is>
          <t>Tier 2</t>
        </is>
      </c>
      <c r="E37" s="125" t="inlineStr">
        <is>
          <t>Starts at 5:45 am</t>
        </is>
      </c>
      <c r="F37" s="125" t="inlineStr">
        <is>
          <t>Covered by 2:00 pm</t>
        </is>
      </c>
      <c r="G37" s="125" t="inlineStr">
        <is>
          <t>Y</t>
        </is>
      </c>
      <c r="H37" s="125" t="inlineStr">
        <is>
          <t>START 5:45</t>
        </is>
      </c>
    </row>
    <row r="38" ht="28.5" customHeight="1" s="120">
      <c r="A38" s="125" t="n">
        <v>37</v>
      </c>
      <c r="B38" s="125" t="inlineStr">
        <is>
          <t>Lower North Security Checkpoint</t>
        </is>
      </c>
      <c r="C38" s="125" t="inlineStr">
        <is>
          <t>Lower North Divesting (#1)</t>
        </is>
      </c>
      <c r="D38" s="125" t="inlineStr">
        <is>
          <t>Tier 1</t>
        </is>
      </c>
      <c r="E38" s="125" t="inlineStr">
        <is>
          <t>Required</t>
        </is>
      </c>
      <c r="F38" s="125" t="inlineStr">
        <is>
          <t>Covered by 12:15 pm</t>
        </is>
      </c>
      <c r="G38" s="125" t="inlineStr">
        <is>
          <t>Y</t>
        </is>
      </c>
      <c r="H38" s="125" t="inlineStr">
        <is>
          <t>HARD 3:45 OPEN</t>
        </is>
      </c>
    </row>
    <row r="39" ht="28.5" customHeight="1" s="120">
      <c r="A39" s="125" t="n">
        <v>38</v>
      </c>
      <c r="B39" s="125" t="inlineStr">
        <is>
          <t>Lower North Security Checkpoint</t>
        </is>
      </c>
      <c r="C39" s="125" t="inlineStr">
        <is>
          <t>Lower North Divesting (#2)</t>
        </is>
      </c>
      <c r="D39" s="125" t="inlineStr">
        <is>
          <t>Tier 2</t>
        </is>
      </c>
      <c r="E39" s="125" t="inlineStr">
        <is>
          <t>Required</t>
        </is>
      </c>
      <c r="F39" s="125" t="inlineStr">
        <is>
          <t>Covered by 12:15 pm</t>
        </is>
      </c>
      <c r="G39" s="125" t="inlineStr">
        <is>
          <t>Y</t>
        </is>
      </c>
      <c r="H39" s="125" t="inlineStr">
        <is>
          <t>HARD 3:45 OPEN</t>
        </is>
      </c>
    </row>
    <row r="40" ht="28.5" customHeight="1" s="120">
      <c r="A40" s="125" t="n">
        <v>39</v>
      </c>
      <c r="B40" s="125" t="inlineStr">
        <is>
          <t>Lower North Security Checkpoint</t>
        </is>
      </c>
      <c r="C40" s="125" t="inlineStr">
        <is>
          <t>Lower North Divesting (#3)</t>
        </is>
      </c>
      <c r="D40" s="125" t="inlineStr">
        <is>
          <t>Tier 2</t>
        </is>
      </c>
      <c r="E40" s="125" t="inlineStr">
        <is>
          <t>Starts at 5:45 am</t>
        </is>
      </c>
      <c r="F40" s="125" t="inlineStr">
        <is>
          <t>Covered by 2:00 pm</t>
        </is>
      </c>
      <c r="G40" s="125" t="inlineStr">
        <is>
          <t>Y</t>
        </is>
      </c>
      <c r="H40" s="125" t="inlineStr">
        <is>
          <t>START 5:45</t>
        </is>
      </c>
    </row>
    <row r="41" ht="14.25" customHeight="1" s="120">
      <c r="A41" s="125" t="n">
        <v>40</v>
      </c>
      <c r="B41" s="125" t="inlineStr">
        <is>
          <t>Surveys</t>
        </is>
      </c>
      <c r="C41" s="125" t="inlineStr">
        <is>
          <t>Surveyor (#1)</t>
        </is>
      </c>
      <c r="D41" s="125" t="n"/>
      <c r="E41" s="125" t="inlineStr">
        <is>
          <t>Survey Flag</t>
        </is>
      </c>
      <c r="F41" s="125" t="inlineStr">
        <is>
          <t>Survey Flag</t>
        </is>
      </c>
      <c r="G41" s="125" t="inlineStr">
        <is>
          <t>Y</t>
        </is>
      </c>
      <c r="H41" s="125" t="inlineStr">
        <is>
          <t>Survey Flag</t>
        </is>
      </c>
    </row>
    <row r="42" ht="14.25" customHeight="1" s="120">
      <c r="A42" s="125" t="n">
        <v>41</v>
      </c>
      <c r="B42" s="125" t="inlineStr">
        <is>
          <t>Surveys</t>
        </is>
      </c>
      <c r="C42" s="125" t="inlineStr">
        <is>
          <t>Surveyor (#2)</t>
        </is>
      </c>
      <c r="D42" s="125" t="n"/>
      <c r="E42" s="125" t="inlineStr">
        <is>
          <t>Survey Flag</t>
        </is>
      </c>
      <c r="F42" s="125" t="inlineStr">
        <is>
          <t>Survey Flag</t>
        </is>
      </c>
      <c r="G42" s="125" t="inlineStr">
        <is>
          <t>Y</t>
        </is>
      </c>
      <c r="H42" s="125" t="inlineStr">
        <is>
          <t>Survey Flag</t>
        </is>
      </c>
    </row>
    <row r="43" ht="14.25" customHeight="1" s="120">
      <c r="A43" s="125" t="n">
        <v>42</v>
      </c>
      <c r="B43" s="125" t="inlineStr">
        <is>
          <t>Surveys</t>
        </is>
      </c>
      <c r="C43" s="125" t="inlineStr">
        <is>
          <t>Surveyor (#3)</t>
        </is>
      </c>
      <c r="D43" s="125" t="n"/>
      <c r="E43" s="125" t="inlineStr">
        <is>
          <t>Survey Flag</t>
        </is>
      </c>
      <c r="F43" s="125" t="inlineStr">
        <is>
          <t>Survey Flag</t>
        </is>
      </c>
      <c r="G43" s="125" t="inlineStr">
        <is>
          <t>Y</t>
        </is>
      </c>
      <c r="H43" s="125" t="inlineStr">
        <is>
          <t>Survey Flag</t>
        </is>
      </c>
    </row>
    <row r="44" ht="14.25" customHeight="1" s="120">
      <c r="A44" s="125" t="n">
        <v>43</v>
      </c>
      <c r="B44" s="125" t="inlineStr">
        <is>
          <t>Surveys</t>
        </is>
      </c>
      <c r="C44" s="125" t="inlineStr">
        <is>
          <t>Surveyor (#4)</t>
        </is>
      </c>
      <c r="D44" s="125" t="n"/>
      <c r="E44" s="125" t="inlineStr">
        <is>
          <t>Survey Flag</t>
        </is>
      </c>
      <c r="F44" s="125" t="inlineStr">
        <is>
          <t>Survey Flag</t>
        </is>
      </c>
      <c r="G44" s="125" t="inlineStr">
        <is>
          <t>Y</t>
        </is>
      </c>
      <c r="H44" s="125" t="inlineStr">
        <is>
          <t>Survey Flag</t>
        </is>
      </c>
    </row>
    <row r="45" ht="14.25" customHeight="1" s="12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5" activeCellId="0" sqref="D15"/>
    </sheetView>
  </sheetViews>
  <sheetFormatPr baseColWidth="8" defaultColWidth="9.109375" defaultRowHeight="14.25" zeroHeight="0" outlineLevelRow="0"/>
  <cols>
    <col width="6.88" customWidth="1" style="119" min="1" max="1"/>
    <col width="32" customWidth="1" style="119" min="2" max="2"/>
    <col width="35.44" customWidth="1" style="119" min="3" max="6"/>
    <col width="9.109999999999999" customWidth="1" style="119" min="7" max="16384"/>
  </cols>
  <sheetData>
    <row r="1" ht="15" customHeight="1" s="120">
      <c r="A1" s="219" t="inlineStr">
        <is>
          <t>#</t>
        </is>
      </c>
      <c r="B1" s="219" t="inlineStr">
        <is>
          <t>Area / Workgroup</t>
        </is>
      </c>
      <c r="C1" s="219" t="inlineStr">
        <is>
          <t>Position Needing Relief</t>
        </is>
      </c>
      <c r="D1" s="219" t="inlineStr">
        <is>
          <t>Primary Relief</t>
        </is>
      </c>
      <c r="E1" s="219" t="inlineStr">
        <is>
          <t>Secondary Relief</t>
        </is>
      </c>
      <c r="F1" s="219" t="inlineStr">
        <is>
          <t>Tertiary Relief</t>
        </is>
      </c>
    </row>
    <row r="2" ht="14.25" customHeight="1" s="120">
      <c r="A2" s="125" t="n">
        <v>1</v>
      </c>
      <c r="B2" s="125" t="inlineStr">
        <is>
          <t>Main Security Checkpoint</t>
        </is>
      </c>
      <c r="C2" s="125" t="inlineStr">
        <is>
          <t>Front Entrance (#1)</t>
        </is>
      </c>
      <c r="D2" s="240" t="inlineStr">
        <is>
          <t>Front Entrance (#2)</t>
        </is>
      </c>
      <c r="E2" s="240" t="n"/>
      <c r="F2" s="240" t="n"/>
    </row>
    <row r="3" ht="14.25" customHeight="1" s="120">
      <c r="A3" s="125" t="n">
        <v>2</v>
      </c>
      <c r="B3" s="125" t="inlineStr">
        <is>
          <t>Main Security Checkpoint</t>
        </is>
      </c>
      <c r="C3" s="125" t="inlineStr">
        <is>
          <t>Front Entrance (#2)</t>
        </is>
      </c>
      <c r="D3" s="240" t="inlineStr">
        <is>
          <t>Front Entrance (#1)</t>
        </is>
      </c>
      <c r="E3" s="240" t="n"/>
      <c r="F3" s="240" t="n"/>
    </row>
    <row r="4" ht="14.25" customHeight="1" s="120">
      <c r="A4" s="125" t="n">
        <v>3</v>
      </c>
      <c r="B4" s="125" t="inlineStr">
        <is>
          <t>Main Security Checkpoint</t>
        </is>
      </c>
      <c r="C4" s="125" t="inlineStr">
        <is>
          <t>ADA Entrance (1)</t>
        </is>
      </c>
      <c r="D4" s="240" t="inlineStr">
        <is>
          <t>Front Entrance (#1)</t>
        </is>
      </c>
      <c r="E4" s="240" t="inlineStr">
        <is>
          <t>Front Entrance (#2)</t>
        </is>
      </c>
      <c r="F4" s="240" t="n"/>
    </row>
    <row r="5" ht="14.25" customHeight="1" s="120">
      <c r="A5" s="125" t="n">
        <v>4</v>
      </c>
      <c r="B5" s="125" t="inlineStr">
        <is>
          <t>Main Security Checkpoint</t>
        </is>
      </c>
      <c r="C5" s="125" t="inlineStr">
        <is>
          <t>Lanes 17-18 (1)</t>
        </is>
      </c>
      <c r="D5" s="240" t="inlineStr">
        <is>
          <t>KIA (1)</t>
        </is>
      </c>
      <c r="E5" s="240" t="inlineStr">
        <is>
          <t>Front Entrance (#1)</t>
        </is>
      </c>
      <c r="F5" s="240" t="inlineStr">
        <is>
          <t>Front Entrance (#2)</t>
        </is>
      </c>
    </row>
    <row r="6" ht="14.25" customHeight="1" s="120">
      <c r="A6" s="125" t="n">
        <v>5</v>
      </c>
      <c r="B6" s="125" t="inlineStr">
        <is>
          <t>Main Security Checkpoint</t>
        </is>
      </c>
      <c r="C6" s="125" t="inlineStr">
        <is>
          <t>Inside Center (1)</t>
        </is>
      </c>
      <c r="D6" s="240" t="inlineStr">
        <is>
          <t>KIA (1)</t>
        </is>
      </c>
      <c r="E6" s="240" t="inlineStr">
        <is>
          <t>Front Entrance (#1)</t>
        </is>
      </c>
      <c r="F6" s="240" t="inlineStr">
        <is>
          <t>Front Entrance (#2)</t>
        </is>
      </c>
    </row>
    <row r="7" ht="14.25" customHeight="1" s="120">
      <c r="A7" s="125" t="n">
        <v>6</v>
      </c>
      <c r="B7" s="125" t="inlineStr">
        <is>
          <t>Main Security Checkpoint</t>
        </is>
      </c>
      <c r="C7" s="125" t="inlineStr">
        <is>
          <t>Lanes 1-3/Pre-Check (1)</t>
        </is>
      </c>
      <c r="D7" s="240" t="inlineStr">
        <is>
          <t>KIA (1)</t>
        </is>
      </c>
      <c r="E7" s="240" t="inlineStr">
        <is>
          <t>Front Entrance (#1)</t>
        </is>
      </c>
      <c r="F7" s="240" t="inlineStr">
        <is>
          <t>Front Entrance (#2)</t>
        </is>
      </c>
    </row>
    <row r="8" ht="14.25" customHeight="1" s="120">
      <c r="A8" s="125" t="n">
        <v>7</v>
      </c>
      <c r="B8" s="125" t="inlineStr">
        <is>
          <t>Atrium</t>
        </is>
      </c>
      <c r="C8" s="125" t="inlineStr">
        <is>
          <t>KIA (1)</t>
        </is>
      </c>
      <c r="D8" s="240" t="inlineStr">
        <is>
          <t>No Relief Needed</t>
        </is>
      </c>
      <c r="E8" s="240" t="n"/>
      <c r="F8" s="240" t="n"/>
    </row>
    <row r="9" ht="14.25" customHeight="1" s="120">
      <c r="A9" s="125" t="n">
        <v>8</v>
      </c>
      <c r="B9" s="125" t="inlineStr">
        <is>
          <t>South Security Checkpoint</t>
        </is>
      </c>
      <c r="C9" s="125" t="inlineStr">
        <is>
          <t>Checkpoint - Front Entrance (#1)</t>
        </is>
      </c>
      <c r="D9" s="125" t="inlineStr">
        <is>
          <t>Checkpoint - Front Entrance (#2)</t>
        </is>
      </c>
      <c r="E9" s="240" t="inlineStr">
        <is>
          <t>Rover/Relief</t>
        </is>
      </c>
      <c r="F9" s="240" t="n"/>
    </row>
    <row r="10" ht="14.25" customHeight="1" s="120">
      <c r="A10" s="125" t="n">
        <v>9</v>
      </c>
      <c r="B10" s="125" t="inlineStr">
        <is>
          <t>South Security Checkpoint</t>
        </is>
      </c>
      <c r="C10" s="125" t="inlineStr">
        <is>
          <t>Checkpoint - Front Entrance (#2)</t>
        </is>
      </c>
      <c r="D10" s="125" t="inlineStr">
        <is>
          <t>Checkpoint - Front Entrance (#1)</t>
        </is>
      </c>
      <c r="E10" s="240" t="inlineStr">
        <is>
          <t>Rover/Relief</t>
        </is>
      </c>
      <c r="F10" s="240" t="n"/>
    </row>
    <row r="11" ht="14.25" customHeight="1" s="120">
      <c r="A11" s="125" t="n">
        <v>10</v>
      </c>
      <c r="B11" s="125" t="inlineStr">
        <is>
          <t>South Security Checkpoint</t>
        </is>
      </c>
      <c r="C11" s="125" t="inlineStr">
        <is>
          <t>Checkpoint - Inside (#1)</t>
        </is>
      </c>
      <c r="D11" s="125" t="inlineStr">
        <is>
          <t>Checkpoint - Inside (#2)</t>
        </is>
      </c>
      <c r="E11" s="240" t="inlineStr">
        <is>
          <t>Rover/Relief</t>
        </is>
      </c>
      <c r="F11" s="240" t="n"/>
    </row>
    <row r="12" ht="14.25" customHeight="1" s="120">
      <c r="A12" s="125" t="n">
        <v>11</v>
      </c>
      <c r="B12" s="125" t="inlineStr">
        <is>
          <t>South Security Checkpoint</t>
        </is>
      </c>
      <c r="C12" s="125" t="inlineStr">
        <is>
          <t>Checkpoint - Inside (#2)</t>
        </is>
      </c>
      <c r="D12" s="125" t="inlineStr">
        <is>
          <t>Checkpoint - Inside (#1)</t>
        </is>
      </c>
      <c r="E12" s="240" t="inlineStr">
        <is>
          <t>Rover/Relief</t>
        </is>
      </c>
      <c r="F12" s="240" t="n"/>
    </row>
    <row r="13" ht="14.25" customHeight="1" s="120">
      <c r="A13" s="125" t="n">
        <v>12</v>
      </c>
      <c r="B13" s="125" t="inlineStr">
        <is>
          <t>South Security Checkpoint</t>
        </is>
      </c>
      <c r="C13" s="125" t="inlineStr">
        <is>
          <t>Hallway Pre-check Overflow (1)</t>
        </is>
      </c>
      <c r="D13" s="240" t="inlineStr">
        <is>
          <t>Rover/Relief</t>
        </is>
      </c>
      <c r="E13" s="240" t="inlineStr">
        <is>
          <t>IHOP (1)</t>
        </is>
      </c>
      <c r="F13" s="240" t="inlineStr">
        <is>
          <t>South Restroom (1)</t>
        </is>
      </c>
    </row>
    <row r="14" ht="14.25" customHeight="1" s="120">
      <c r="A14" s="125" t="n">
        <v>13</v>
      </c>
      <c r="B14" s="125" t="inlineStr">
        <is>
          <t>South Security Checkpoint</t>
        </is>
      </c>
      <c r="C14" s="125" t="inlineStr">
        <is>
          <t>South Restroom (1)</t>
        </is>
      </c>
      <c r="D14" s="240" t="inlineStr">
        <is>
          <t>Rover/Relief</t>
        </is>
      </c>
      <c r="E14" s="240" t="inlineStr">
        <is>
          <t>KIA (1)</t>
        </is>
      </c>
      <c r="F14" s="240" t="inlineStr">
        <is>
          <t>IHOP (1)</t>
        </is>
      </c>
    </row>
    <row r="15" ht="14.25" customHeight="1" s="120">
      <c r="A15" s="125" t="n">
        <v>14</v>
      </c>
      <c r="B15" s="125" t="inlineStr">
        <is>
          <t>South Security Checkpoint</t>
        </is>
      </c>
      <c r="C15" s="125" t="inlineStr">
        <is>
          <t>IHOP (1)</t>
        </is>
      </c>
      <c r="D15" s="240" t="inlineStr">
        <is>
          <t>Rover/Relief</t>
        </is>
      </c>
      <c r="E15" s="240" t="inlineStr">
        <is>
          <t>KIA (1)</t>
        </is>
      </c>
      <c r="F15" s="240" t="n"/>
    </row>
    <row r="16" ht="14.25" customHeight="1" s="120">
      <c r="A16" s="125" t="n">
        <v>15</v>
      </c>
      <c r="B16" s="125" t="inlineStr">
        <is>
          <t>North Security Checkpoint</t>
        </is>
      </c>
      <c r="C16" s="125" t="inlineStr">
        <is>
          <t>Checkpoint - Inside (1)</t>
        </is>
      </c>
      <c r="D16" s="240" t="inlineStr">
        <is>
          <t>Rover/Relief</t>
        </is>
      </c>
      <c r="E16" s="240" t="inlineStr">
        <is>
          <t>North Restroom Hallway (#2)</t>
        </is>
      </c>
      <c r="F16" s="240" t="inlineStr">
        <is>
          <t>We Juice It (1)</t>
        </is>
      </c>
    </row>
    <row r="17" ht="14.25" customHeight="1" s="120">
      <c r="A17" s="125" t="n">
        <v>16</v>
      </c>
      <c r="B17" s="125" t="inlineStr">
        <is>
          <t>North Security Checkpoint</t>
        </is>
      </c>
      <c r="C17" s="125" t="inlineStr">
        <is>
          <t>North Corridor (1)</t>
        </is>
      </c>
      <c r="D17" s="240" t="inlineStr">
        <is>
          <t>Rover/Relief</t>
        </is>
      </c>
      <c r="E17" s="240" t="inlineStr">
        <is>
          <t>North Restroom Hallway (#2)</t>
        </is>
      </c>
      <c r="F17" s="240" t="inlineStr">
        <is>
          <t>We Juice It (1)</t>
        </is>
      </c>
    </row>
    <row r="18" ht="14.25" customHeight="1" s="120">
      <c r="A18" s="125" t="n">
        <v>17</v>
      </c>
      <c r="B18" s="125" t="inlineStr">
        <is>
          <t>North Security Checkpoint</t>
        </is>
      </c>
      <c r="C18" s="125" t="inlineStr">
        <is>
          <t>North Restroom Hallway (#1)</t>
        </is>
      </c>
      <c r="D18" s="240" t="inlineStr">
        <is>
          <t>North Restroom Hallway (#2)</t>
        </is>
      </c>
      <c r="E18" s="240" t="n"/>
      <c r="F18" s="240" t="n"/>
    </row>
    <row r="19" ht="14.25" customHeight="1" s="120">
      <c r="A19" s="125" t="n">
        <v>18</v>
      </c>
      <c r="B19" s="125" t="inlineStr">
        <is>
          <t>North Security Checkpoint</t>
        </is>
      </c>
      <c r="C19" s="125" t="inlineStr">
        <is>
          <t>North Restroom Hallway (#2)</t>
        </is>
      </c>
      <c r="D19" s="240" t="inlineStr">
        <is>
          <t>North Restroom Hallway (#1)</t>
        </is>
      </c>
      <c r="E19" s="240" t="n"/>
      <c r="F19" s="240" t="n"/>
    </row>
    <row r="20" ht="14.25" customHeight="1" s="120">
      <c r="A20" s="125" t="n">
        <v>19</v>
      </c>
      <c r="B20" s="125" t="inlineStr">
        <is>
          <t>North Security Checkpoint</t>
        </is>
      </c>
      <c r="C20" s="125" t="inlineStr">
        <is>
          <t>We Juice It (1)</t>
        </is>
      </c>
      <c r="D20" s="240" t="inlineStr">
        <is>
          <t>Rover/Relief</t>
        </is>
      </c>
      <c r="E20" s="240" t="n"/>
      <c r="F20" s="240" t="n"/>
    </row>
    <row r="21" ht="28.5" customHeight="1" s="120">
      <c r="A21" s="125" t="n">
        <v>20</v>
      </c>
      <c r="B21" s="125" t="inlineStr">
        <is>
          <t>Lower North Security Checkpoint</t>
        </is>
      </c>
      <c r="C21" s="125" t="inlineStr">
        <is>
          <t>Checkpoint - Inside (1)</t>
        </is>
      </c>
      <c r="D21" s="240" t="inlineStr">
        <is>
          <t>Rover/Relief</t>
        </is>
      </c>
      <c r="E21" s="240" t="n"/>
      <c r="F21" s="240" t="n"/>
    </row>
    <row r="22" ht="28.5" customHeight="1" s="120">
      <c r="A22" s="125" t="n">
        <v>21</v>
      </c>
      <c r="B22" s="125" t="inlineStr">
        <is>
          <t>Lower North Security Checkpoint</t>
        </is>
      </c>
      <c r="C22" s="125" t="inlineStr">
        <is>
          <t>N5 Door (1)</t>
        </is>
      </c>
      <c r="D22" s="240" t="inlineStr">
        <is>
          <t>Rover/Relief</t>
        </is>
      </c>
      <c r="E22" s="240" t="inlineStr">
        <is>
          <t>We Juice It (1)</t>
        </is>
      </c>
      <c r="F22" s="240" t="n"/>
    </row>
    <row r="23" ht="28.5" customHeight="1" s="120">
      <c r="A23" s="125" t="n">
        <v>22</v>
      </c>
      <c r="B23" s="125" t="inlineStr">
        <is>
          <t>Lower North Security Checkpoint</t>
        </is>
      </c>
      <c r="C23" s="125" t="inlineStr">
        <is>
          <t>LN2 Elevator (1)</t>
        </is>
      </c>
      <c r="D23" s="240" t="inlineStr">
        <is>
          <t>Rover/Relief</t>
        </is>
      </c>
      <c r="E23" s="240" t="inlineStr">
        <is>
          <t>We Juice It (1)</t>
        </is>
      </c>
      <c r="F23" s="240" t="n"/>
    </row>
    <row r="24" ht="14.25" customHeight="1" s="120">
      <c r="A24" s="125" t="n">
        <v>23</v>
      </c>
      <c r="B24" s="125" t="inlineStr">
        <is>
          <t>AGT Level</t>
        </is>
      </c>
      <c r="C24" s="125" t="inlineStr">
        <is>
          <t>T Platform Train Doors (#1)</t>
        </is>
      </c>
      <c r="D24" s="240" t="inlineStr">
        <is>
          <t>T Platform Train Doors (#2)</t>
        </is>
      </c>
      <c r="E24" s="240" t="inlineStr">
        <is>
          <t>T Bridge Landing (#2)</t>
        </is>
      </c>
      <c r="F24" s="240" t="n"/>
    </row>
    <row r="25" ht="14.25" customHeight="1" s="120">
      <c r="A25" s="125" t="n">
        <v>24</v>
      </c>
      <c r="B25" s="125" t="inlineStr">
        <is>
          <t>AGT Level</t>
        </is>
      </c>
      <c r="C25" s="125" t="inlineStr">
        <is>
          <t>T Platform Train Doors (#2)</t>
        </is>
      </c>
      <c r="D25" s="240" t="inlineStr">
        <is>
          <t>T Platform Train Doors (#1)</t>
        </is>
      </c>
      <c r="E25" s="240" t="inlineStr">
        <is>
          <t>T Bridge Landing (#1)</t>
        </is>
      </c>
      <c r="F25" s="240" t="n"/>
    </row>
    <row r="26" ht="14.25" customHeight="1" s="120">
      <c r="A26" s="125" t="n">
        <v>25</v>
      </c>
      <c r="B26" s="125" t="inlineStr">
        <is>
          <t>AGT Level</t>
        </is>
      </c>
      <c r="C26" s="125" t="inlineStr">
        <is>
          <t>Domestic Baggage Claim (1)</t>
        </is>
      </c>
      <c r="D26" s="240" t="n"/>
      <c r="E26" s="240" t="n"/>
      <c r="F26" s="240" t="n"/>
    </row>
    <row r="27" ht="14.25" customHeight="1" s="120">
      <c r="A27" s="125" t="n">
        <v>26</v>
      </c>
      <c r="B27" s="125" t="inlineStr">
        <is>
          <t>AGT Level</t>
        </is>
      </c>
      <c r="C27" s="125" t="inlineStr">
        <is>
          <t>T Bridge Landing (#1)</t>
        </is>
      </c>
      <c r="D27" s="240" t="inlineStr">
        <is>
          <t>T Bridge Landing (#2)</t>
        </is>
      </c>
      <c r="E27" s="240" t="inlineStr">
        <is>
          <t>T Platform Train Doors (#1)</t>
        </is>
      </c>
      <c r="F27" s="240" t="n"/>
    </row>
    <row r="28" ht="14.25" customHeight="1" s="120">
      <c r="A28" s="125" t="n">
        <v>27</v>
      </c>
      <c r="B28" s="125" t="inlineStr">
        <is>
          <t>AGT Level</t>
        </is>
      </c>
      <c r="C28" s="125" t="inlineStr">
        <is>
          <t>T Bridge Landing (#2)</t>
        </is>
      </c>
      <c r="D28" s="240" t="inlineStr">
        <is>
          <t>T Bridge Landing (#1)</t>
        </is>
      </c>
      <c r="E28" s="240" t="inlineStr">
        <is>
          <t>T Platform Train Doors (#2)</t>
        </is>
      </c>
      <c r="F28" s="240" t="n"/>
    </row>
    <row r="29" ht="14.25" customHeight="1" s="120">
      <c r="A29" s="125" t="n">
        <v>28</v>
      </c>
      <c r="B29" s="125" t="inlineStr">
        <is>
          <t>AGT Level</t>
        </is>
      </c>
      <c r="C29" s="125" t="inlineStr">
        <is>
          <t>Alpha West (1)</t>
        </is>
      </c>
      <c r="D29" s="240" t="inlineStr">
        <is>
          <t>No Relief Needed</t>
        </is>
      </c>
      <c r="E29" s="240" t="n"/>
      <c r="F29" s="240" t="n"/>
    </row>
    <row r="30" ht="14.25" customHeight="1" s="120">
      <c r="A30" s="125" t="n">
        <v>29</v>
      </c>
      <c r="B30" s="125" t="inlineStr">
        <is>
          <t>AGT Level</t>
        </is>
      </c>
      <c r="C30" s="125" t="inlineStr">
        <is>
          <t>Bravo West (1)</t>
        </is>
      </c>
      <c r="D30" s="240" t="inlineStr">
        <is>
          <t>No Relief Needed</t>
        </is>
      </c>
      <c r="E30" s="240" t="n"/>
      <c r="F30" s="240" t="n"/>
    </row>
    <row r="31" ht="14.25" customHeight="1" s="120">
      <c r="A31" s="125" t="n">
        <v>30</v>
      </c>
      <c r="B31" s="125" t="inlineStr">
        <is>
          <t>AGT Level</t>
        </is>
      </c>
      <c r="C31" s="125" t="inlineStr">
        <is>
          <t>Charlie West (1)</t>
        </is>
      </c>
      <c r="D31" s="240" t="inlineStr">
        <is>
          <t>No Relief Needed</t>
        </is>
      </c>
      <c r="E31" s="240" t="n"/>
      <c r="F31" s="240" t="n"/>
    </row>
    <row r="32" ht="14.25" customHeight="1" s="120">
      <c r="A32" s="125" t="n">
        <v>31</v>
      </c>
      <c r="B32" s="125" t="inlineStr">
        <is>
          <t>AGT Level</t>
        </is>
      </c>
      <c r="C32" s="125" t="inlineStr">
        <is>
          <t>Delta West (1)</t>
        </is>
      </c>
      <c r="D32" s="240" t="inlineStr">
        <is>
          <t>No Relief Needed</t>
        </is>
      </c>
      <c r="E32" s="240" t="n"/>
      <c r="F32" s="240" t="n"/>
    </row>
    <row r="33" ht="14.25" customHeight="1" s="120">
      <c r="A33" s="125" t="n">
        <v>32</v>
      </c>
      <c r="B33" s="125" t="inlineStr">
        <is>
          <t>Information Desk</t>
        </is>
      </c>
      <c r="C33" s="125" t="inlineStr">
        <is>
          <t>Information Desk Personnel</t>
        </is>
      </c>
      <c r="D33" s="240" t="inlineStr">
        <is>
          <t>No Relief Needed</t>
        </is>
      </c>
      <c r="E33" s="240" t="n"/>
      <c r="F33" s="240" t="n"/>
    </row>
    <row r="34" ht="14.25" customHeight="1" s="120">
      <c r="A34" s="125" t="n">
        <v>33</v>
      </c>
      <c r="B34" s="125" t="inlineStr">
        <is>
          <t>North Security Checkpoint</t>
        </is>
      </c>
      <c r="C34" s="125" t="inlineStr">
        <is>
          <t>North Divesting (#1)</t>
        </is>
      </c>
      <c r="D34" s="240" t="inlineStr">
        <is>
          <t>North Restroom Hallway (#2)</t>
        </is>
      </c>
      <c r="E34" s="240" t="inlineStr">
        <is>
          <t>IHOP (1)</t>
        </is>
      </c>
      <c r="F34" s="240" t="n"/>
    </row>
    <row r="35" ht="14.25" customHeight="1" s="120">
      <c r="A35" s="125" t="n">
        <v>34</v>
      </c>
      <c r="B35" s="125" t="inlineStr">
        <is>
          <t>North Security Checkpoint</t>
        </is>
      </c>
      <c r="C35" s="125" t="inlineStr">
        <is>
          <t>North Divesting (#2)</t>
        </is>
      </c>
      <c r="D35" s="240" t="inlineStr">
        <is>
          <t>North Restroom Hallway (#1)</t>
        </is>
      </c>
      <c r="E35" s="240" t="inlineStr">
        <is>
          <t>IHOP (1)</t>
        </is>
      </c>
      <c r="F35" s="240" t="n"/>
    </row>
    <row r="36" ht="14.25" customHeight="1" s="120">
      <c r="A36" s="125" t="n">
        <v>35</v>
      </c>
      <c r="B36" s="125" t="inlineStr">
        <is>
          <t>North Security Checkpoint</t>
        </is>
      </c>
      <c r="C36" s="125" t="inlineStr">
        <is>
          <t>North Divesting (#3)</t>
        </is>
      </c>
      <c r="D36" s="240" t="inlineStr">
        <is>
          <t>North Restroom Hallway (#1)</t>
        </is>
      </c>
      <c r="E36" s="240" t="inlineStr">
        <is>
          <t>IHOP (1)</t>
        </is>
      </c>
      <c r="F36" s="240" t="n"/>
    </row>
    <row r="37" ht="14.25" customHeight="1" s="120">
      <c r="A37" s="125" t="n">
        <v>36</v>
      </c>
      <c r="B37" s="125" t="inlineStr">
        <is>
          <t>North Security Checkpoint</t>
        </is>
      </c>
      <c r="C37" s="125" t="inlineStr">
        <is>
          <t>North Divesting (#4)</t>
        </is>
      </c>
      <c r="D37" s="240" t="inlineStr">
        <is>
          <t>North Restroom Hallway (#2)</t>
        </is>
      </c>
      <c r="E37" s="240" t="inlineStr">
        <is>
          <t>IHOP (1)</t>
        </is>
      </c>
      <c r="F37" s="240" t="n"/>
    </row>
    <row r="38" ht="28.5" customHeight="1" s="120">
      <c r="A38" s="125" t="n">
        <v>37</v>
      </c>
      <c r="B38" s="125" t="inlineStr">
        <is>
          <t>Lower North Security Checkpoint</t>
        </is>
      </c>
      <c r="C38" s="125" t="inlineStr">
        <is>
          <t>Lower North Divesting (#1)</t>
        </is>
      </c>
      <c r="D38" s="240" t="inlineStr">
        <is>
          <t>We Juice It (1)</t>
        </is>
      </c>
      <c r="E38" s="240" t="n"/>
      <c r="F38" s="240" t="n"/>
    </row>
    <row r="39" ht="28.5" customHeight="1" s="120">
      <c r="A39" s="125" t="n">
        <v>38</v>
      </c>
      <c r="B39" s="125" t="inlineStr">
        <is>
          <t>Lower North Security Checkpoint</t>
        </is>
      </c>
      <c r="C39" s="125" t="inlineStr">
        <is>
          <t>Lower North Divesting (#2)</t>
        </is>
      </c>
      <c r="D39" s="240" t="inlineStr">
        <is>
          <t>We Juice It (1)</t>
        </is>
      </c>
      <c r="E39" s="240" t="n"/>
      <c r="F39" s="240" t="n"/>
    </row>
    <row r="40" ht="28.5" customHeight="1" s="120">
      <c r="A40" s="125" t="n">
        <v>39</v>
      </c>
      <c r="B40" s="125" t="inlineStr">
        <is>
          <t>Lower North Security Checkpoint</t>
        </is>
      </c>
      <c r="C40" s="125" t="inlineStr">
        <is>
          <t>Lower North Divesting (#3)</t>
        </is>
      </c>
      <c r="D40" s="240" t="inlineStr">
        <is>
          <t>We Juice It (1)</t>
        </is>
      </c>
      <c r="E40" s="240" t="n"/>
      <c r="F40" s="240" t="n"/>
    </row>
    <row r="41" ht="14.25" customHeight="1" s="120">
      <c r="A41" s="125" t="n">
        <v>40</v>
      </c>
      <c r="B41" s="125" t="inlineStr">
        <is>
          <t>Surveys</t>
        </is>
      </c>
      <c r="C41" s="125" t="inlineStr">
        <is>
          <t>Surveyor (#1)</t>
        </is>
      </c>
      <c r="D41" s="240" t="inlineStr">
        <is>
          <t>No Relief Needed</t>
        </is>
      </c>
      <c r="E41" s="240" t="n"/>
      <c r="F41" s="240" t="n"/>
    </row>
    <row r="42" ht="14.25" customHeight="1" s="120">
      <c r="A42" s="125" t="n">
        <v>41</v>
      </c>
      <c r="B42" s="125" t="inlineStr">
        <is>
          <t>Surveys</t>
        </is>
      </c>
      <c r="C42" s="125" t="inlineStr">
        <is>
          <t>Surveyor (#2)</t>
        </is>
      </c>
      <c r="D42" s="240" t="inlineStr">
        <is>
          <t>No Relief Needed</t>
        </is>
      </c>
      <c r="E42" s="240" t="n"/>
      <c r="F42" s="240" t="n"/>
    </row>
    <row r="43" ht="14.25" customHeight="1" s="120">
      <c r="A43" s="125" t="n">
        <v>42</v>
      </c>
      <c r="B43" s="125" t="inlineStr">
        <is>
          <t>Surveys</t>
        </is>
      </c>
      <c r="C43" s="125" t="inlineStr">
        <is>
          <t>Surveyor (#3)</t>
        </is>
      </c>
      <c r="D43" s="240" t="inlineStr">
        <is>
          <t>No Relief Needed</t>
        </is>
      </c>
      <c r="E43" s="240" t="n"/>
      <c r="F43" s="240" t="n"/>
    </row>
    <row r="44" ht="14.25" customHeight="1" s="120">
      <c r="A44" s="125" t="n">
        <v>43</v>
      </c>
      <c r="B44" s="125" t="inlineStr">
        <is>
          <t>Surveys</t>
        </is>
      </c>
      <c r="C44" s="125" t="inlineStr">
        <is>
          <t>Surveyor (#4)</t>
        </is>
      </c>
      <c r="D44" s="240" t="inlineStr">
        <is>
          <t>No Relief Needed</t>
        </is>
      </c>
      <c r="E44" s="240" t="n"/>
      <c r="F44" s="24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9375" defaultRowHeight="14.25" zeroHeight="0" outlineLevelRow="0"/>
  <cols>
    <col width="22.88" customWidth="1" style="119" min="1" max="1"/>
    <col width="32" customWidth="1" style="119" min="2" max="2"/>
    <col width="22.88" customWidth="1" style="119" min="3" max="3"/>
    <col width="36.56" customWidth="1" style="119" min="4" max="4"/>
    <col width="22.88" customWidth="1" style="119" min="5" max="7"/>
    <col width="9.109999999999999" customWidth="1" style="119" min="8" max="16384"/>
  </cols>
  <sheetData>
    <row r="1" ht="15" customHeight="1" s="120">
      <c r="A1" s="219" t="inlineStr">
        <is>
          <t>Date</t>
        </is>
      </c>
      <c r="B1" s="219" t="inlineStr">
        <is>
          <t>Employee</t>
        </is>
      </c>
      <c r="C1" s="219" t="inlineStr">
        <is>
          <t>Shift</t>
        </is>
      </c>
      <c r="D1" s="219" t="inlineStr">
        <is>
          <t>Position</t>
        </is>
      </c>
      <c r="E1" s="219" t="inlineStr">
        <is>
          <t>Tier</t>
        </is>
      </c>
      <c r="F1" s="219" t="inlineStr">
        <is>
          <t>Divest?</t>
        </is>
      </c>
      <c r="G1" s="219" t="inlineStr">
        <is>
          <t>Source</t>
        </is>
      </c>
    </row>
    <row r="2" ht="14.25" customHeight="1" s="120">
      <c r="A2" s="220" t="n"/>
    </row>
    <row r="3" ht="14.25" customHeight="1" s="120">
      <c r="A3" s="220" t="n"/>
    </row>
    <row r="4" ht="14.25" customHeight="1" s="120">
      <c r="A4" s="220" t="n"/>
    </row>
    <row r="5" ht="14.25" customHeight="1" s="120">
      <c r="A5" s="220" t="n"/>
    </row>
    <row r="6" ht="14.25" customHeight="1" s="120">
      <c r="A6" s="220" t="n"/>
    </row>
    <row r="7" ht="14.25" customHeight="1" s="120">
      <c r="A7" s="220" t="n"/>
    </row>
    <row r="8" ht="14.25" customHeight="1" s="120">
      <c r="A8" s="220" t="n"/>
    </row>
    <row r="9" ht="14.25" customHeight="1" s="120">
      <c r="A9" s="220" t="n"/>
    </row>
    <row r="10" ht="14.25" customHeight="1" s="120">
      <c r="A10" s="220" t="n"/>
    </row>
    <row r="11" ht="14.25" customHeight="1" s="120">
      <c r="A11" s="220" t="n"/>
    </row>
    <row r="12" ht="14.25" customHeight="1" s="120">
      <c r="A12" s="220" t="n"/>
    </row>
    <row r="13" ht="14.25" customHeight="1" s="120">
      <c r="A13" s="220" t="n"/>
    </row>
    <row r="14" ht="14.25" customHeight="1" s="120">
      <c r="A14" s="220" t="n"/>
    </row>
    <row r="15" ht="14.25" customHeight="1" s="120">
      <c r="A15" s="220" t="n"/>
    </row>
    <row r="16" ht="14.25" customHeight="1" s="120">
      <c r="A16" s="220" t="n"/>
    </row>
    <row r="17" ht="14.25" customHeight="1" s="120">
      <c r="A17" s="220" t="n"/>
    </row>
    <row r="18" ht="14.25" customHeight="1" s="120">
      <c r="A18" s="220" t="n"/>
    </row>
    <row r="19" ht="14.25" customHeight="1" s="120">
      <c r="A19" s="220" t="n"/>
    </row>
    <row r="20" ht="14.25" customHeight="1" s="120">
      <c r="A20" s="220" t="n"/>
    </row>
    <row r="21" ht="14.25" customHeight="1" s="120">
      <c r="A21" s="220" t="n"/>
    </row>
    <row r="22" ht="14.25" customHeight="1" s="120">
      <c r="A22" s="220" t="n"/>
    </row>
    <row r="23" ht="14.25" customHeight="1" s="120">
      <c r="A23" s="220" t="n"/>
    </row>
    <row r="24" ht="14.25" customHeight="1" s="120">
      <c r="A24" s="220" t="n"/>
    </row>
    <row r="25" ht="14.25" customHeight="1" s="120">
      <c r="A25" s="220" t="n"/>
    </row>
    <row r="26" ht="14.25" customHeight="1" s="120">
      <c r="A26" s="220" t="n"/>
    </row>
    <row r="27" ht="14.25" customHeight="1" s="120">
      <c r="A27" s="220" t="n"/>
    </row>
    <row r="28" ht="14.25" customHeight="1" s="120">
      <c r="A28" s="220" t="n"/>
    </row>
    <row r="29" ht="14.25" customHeight="1" s="120">
      <c r="A29" s="220" t="n"/>
    </row>
    <row r="30" ht="14.25" customHeight="1" s="120">
      <c r="A30" s="220" t="n"/>
    </row>
    <row r="31" ht="14.25" customHeight="1" s="120">
      <c r="A31" s="220" t="n"/>
    </row>
    <row r="32" ht="14.25" customHeight="1" s="120">
      <c r="A32" s="220" t="n"/>
    </row>
    <row r="33" ht="14.25" customHeight="1" s="120">
      <c r="A33" s="220" t="n"/>
    </row>
    <row r="34" ht="14.25" customHeight="1" s="120">
      <c r="A34" s="220" t="n"/>
    </row>
    <row r="35" ht="14.25" customHeight="1" s="120">
      <c r="A35" s="220" t="n"/>
    </row>
    <row r="36" ht="14.25" customHeight="1" s="120">
      <c r="A36" s="220" t="n"/>
    </row>
    <row r="37" ht="14.25" customHeight="1" s="120">
      <c r="A37" s="220" t="n"/>
    </row>
    <row r="38" ht="14.25" customHeight="1" s="120">
      <c r="A38" s="220" t="n"/>
    </row>
    <row r="39" ht="14.25" customHeight="1" s="120">
      <c r="A39" s="220" t="n"/>
    </row>
    <row r="40" ht="14.25" customHeight="1" s="120">
      <c r="A40" s="220" t="n"/>
    </row>
    <row r="41" ht="14.25" customHeight="1" s="120">
      <c r="A41" s="220" t="n"/>
    </row>
    <row r="42" ht="14.25" customHeight="1" s="120">
      <c r="A42" s="220" t="n"/>
    </row>
    <row r="43" ht="14.25" customHeight="1" s="120">
      <c r="A43" s="220" t="n"/>
    </row>
    <row r="44" ht="14.25" customHeight="1" s="120">
      <c r="A44" s="220" t="n"/>
    </row>
    <row r="45" ht="14.25" customHeight="1" s="120">
      <c r="A45" s="220" t="n"/>
    </row>
    <row r="46" ht="14.25" customHeight="1" s="120">
      <c r="A46" s="220" t="n"/>
    </row>
    <row r="47" ht="14.25" customHeight="1" s="120">
      <c r="A47" s="220" t="n"/>
    </row>
    <row r="48" ht="14.25" customHeight="1" s="120">
      <c r="A48" s="220" t="n"/>
    </row>
    <row r="49" ht="14.25" customHeight="1" s="120">
      <c r="A49" s="220" t="n"/>
    </row>
    <row r="50" ht="14.25" customHeight="1" s="120">
      <c r="A50" s="220" t="n"/>
    </row>
    <row r="51" ht="14.25" customHeight="1" s="120">
      <c r="A51" s="220" t="n"/>
    </row>
    <row r="52" ht="14.25" customHeight="1" s="120">
      <c r="A52" s="220" t="n"/>
    </row>
    <row r="53" ht="14.25" customHeight="1" s="120">
      <c r="A53" s="220" t="n"/>
    </row>
    <row r="54" ht="14.25" customHeight="1" s="120">
      <c r="A54" s="220" t="n"/>
    </row>
    <row r="55" ht="14.25" customHeight="1" s="120">
      <c r="A55" s="220" t="n"/>
    </row>
    <row r="56" ht="14.25" customHeight="1" s="120">
      <c r="A56" s="220" t="n"/>
    </row>
    <row r="57" ht="14.25" customHeight="1" s="120">
      <c r="A57" s="220" t="n"/>
    </row>
    <row r="58" ht="14.25" customHeight="1" s="120">
      <c r="A58" s="220" t="n"/>
    </row>
    <row r="59" ht="14.25" customHeight="1" s="120">
      <c r="A59" s="220" t="n"/>
    </row>
    <row r="60" ht="14.25" customHeight="1" s="120">
      <c r="A60" s="220" t="n"/>
    </row>
    <row r="61" ht="14.25" customHeight="1" s="120">
      <c r="A61" s="220" t="n"/>
    </row>
    <row r="62" ht="14.25" customHeight="1" s="120">
      <c r="A62" s="220" t="n"/>
    </row>
    <row r="63" ht="14.25" customHeight="1" s="120">
      <c r="A63" s="220" t="n"/>
    </row>
    <row r="64" ht="14.25" customHeight="1" s="120">
      <c r="A64" s="220" t="n"/>
    </row>
    <row r="65" ht="14.25" customHeight="1" s="120">
      <c r="A65" s="220" t="n"/>
    </row>
    <row r="66" ht="14.25" customHeight="1" s="120">
      <c r="A66" s="220" t="n"/>
    </row>
    <row r="67" ht="14.25" customHeight="1" s="120">
      <c r="A67" s="220" t="n"/>
    </row>
    <row r="68" ht="14.25" customHeight="1" s="120">
      <c r="A68" s="220" t="n"/>
    </row>
    <row r="69" ht="14.25" customHeight="1" s="120">
      <c r="A69" s="220" t="n"/>
    </row>
    <row r="70" ht="14.25" customHeight="1" s="120">
      <c r="A70" s="220" t="n"/>
    </row>
    <row r="71" ht="14.25" customHeight="1" s="120">
      <c r="A71" s="220" t="n"/>
    </row>
    <row r="72" ht="14.25" customHeight="1" s="120">
      <c r="A72" s="220" t="n"/>
    </row>
    <row r="73" ht="14.25" customHeight="1" s="120">
      <c r="A73" s="220" t="n"/>
    </row>
    <row r="74" ht="14.25" customHeight="1" s="120">
      <c r="A74" s="220" t="n"/>
    </row>
    <row r="75" ht="14.25" customHeight="1" s="120">
      <c r="A75" s="220" t="n"/>
    </row>
    <row r="76" ht="14.25" customHeight="1" s="120">
      <c r="A76" s="220" t="n"/>
    </row>
    <row r="77" ht="14.25" customHeight="1" s="120">
      <c r="A77" s="220" t="n"/>
    </row>
    <row r="78" ht="14.25" customHeight="1" s="120">
      <c r="A78" s="220" t="n"/>
    </row>
    <row r="79" ht="14.25" customHeight="1" s="120">
      <c r="A79" s="220" t="n"/>
    </row>
    <row r="80" ht="14.25" customHeight="1" s="120">
      <c r="A80" s="220" t="n"/>
    </row>
    <row r="81" ht="14.25" customHeight="1" s="120">
      <c r="A81" s="220" t="n"/>
    </row>
    <row r="82" ht="14.25" customHeight="1" s="120">
      <c r="A82" s="220" t="n"/>
    </row>
    <row r="83" ht="14.25" customHeight="1" s="120">
      <c r="A83" s="220" t="n"/>
    </row>
    <row r="84" ht="14.25" customHeight="1" s="120">
      <c r="A84" s="220" t="n"/>
    </row>
    <row r="85" ht="14.25" customHeight="1" s="120">
      <c r="A85" s="220" t="n"/>
    </row>
    <row r="86" ht="14.25" customHeight="1" s="120">
      <c r="A86" s="220" t="n"/>
    </row>
    <row r="87" ht="14.25" customHeight="1" s="120">
      <c r="A87" s="220" t="n"/>
    </row>
    <row r="88" ht="14.25" customHeight="1" s="120">
      <c r="A88" s="220" t="n"/>
    </row>
    <row r="89" ht="14.25" customHeight="1" s="120">
      <c r="A89" s="220" t="n"/>
    </row>
    <row r="90" ht="14.25" customHeight="1" s="120">
      <c r="A90" s="220" t="n"/>
    </row>
    <row r="91" ht="14.25" customHeight="1" s="120">
      <c r="A91" s="220" t="n"/>
    </row>
    <row r="92" ht="14.25" customHeight="1" s="120">
      <c r="A92" s="220" t="n"/>
    </row>
    <row r="93" ht="14.25" customHeight="1" s="120">
      <c r="A93" s="220" t="n"/>
    </row>
    <row r="94" ht="14.25" customHeight="1" s="120">
      <c r="A94" s="220" t="n"/>
    </row>
    <row r="95" ht="14.25" customHeight="1" s="120">
      <c r="A95" s="220" t="n"/>
    </row>
    <row r="96" ht="14.25" customHeight="1" s="120">
      <c r="A96" s="220" t="n"/>
    </row>
    <row r="97" ht="14.25" customHeight="1" s="120">
      <c r="A97" s="220" t="n"/>
    </row>
    <row r="98" ht="14.25" customHeight="1" s="120">
      <c r="A98" s="220" t="n"/>
    </row>
    <row r="99" ht="14.25" customHeight="1" s="120">
      <c r="A99" s="220" t="n"/>
    </row>
    <row r="100" ht="14.25" customHeight="1" s="120">
      <c r="A100" s="220" t="n"/>
    </row>
    <row r="101" ht="14.25" customHeight="1" s="120">
      <c r="A101" s="220" t="n"/>
    </row>
    <row r="102" ht="14.25" customHeight="1" s="120">
      <c r="A102" s="220" t="n"/>
    </row>
    <row r="103" ht="14.25" customHeight="1" s="120">
      <c r="A103" s="220" t="n"/>
    </row>
    <row r="104" ht="14.25" customHeight="1" s="120">
      <c r="A104" s="220" t="n"/>
    </row>
    <row r="105" ht="14.25" customHeight="1" s="120">
      <c r="A105" s="220" t="n"/>
    </row>
    <row r="106" ht="14.25" customHeight="1" s="120">
      <c r="A106" s="220" t="n"/>
    </row>
    <row r="107" ht="14.25" customHeight="1" s="120">
      <c r="A107" s="220" t="n"/>
    </row>
    <row r="108" ht="14.25" customHeight="1" s="120">
      <c r="A108" s="220" t="n"/>
    </row>
    <row r="109" ht="14.25" customHeight="1" s="120">
      <c r="A109" s="220" t="n"/>
    </row>
    <row r="110" ht="14.25" customHeight="1" s="120">
      <c r="A110" s="220" t="n"/>
    </row>
    <row r="111" ht="14.25" customHeight="1" s="120">
      <c r="A111" s="220" t="n"/>
    </row>
    <row r="112" ht="14.25" customHeight="1" s="120">
      <c r="A112" s="220" t="n"/>
    </row>
    <row r="113" ht="14.25" customHeight="1" s="120">
      <c r="A113" s="220" t="n"/>
    </row>
    <row r="114" ht="14.25" customHeight="1" s="120">
      <c r="A114" s="220" t="n"/>
    </row>
    <row r="115" ht="14.25" customHeight="1" s="120">
      <c r="A115" s="220" t="n"/>
    </row>
    <row r="116" ht="14.25" customHeight="1" s="120">
      <c r="A116" s="220" t="n"/>
    </row>
    <row r="117" ht="14.25" customHeight="1" s="120">
      <c r="A117" s="220" t="n"/>
    </row>
    <row r="118" ht="14.25" customHeight="1" s="120">
      <c r="A118" s="220" t="n"/>
    </row>
    <row r="119" ht="14.25" customHeight="1" s="120">
      <c r="A119" s="220" t="n"/>
    </row>
    <row r="120" ht="14.25" customHeight="1" s="120">
      <c r="A120" s="220" t="n"/>
    </row>
    <row r="121" ht="14.25" customHeight="1" s="120">
      <c r="A121" s="220" t="n"/>
    </row>
    <row r="122" ht="14.25" customHeight="1" s="120">
      <c r="A122" s="220" t="n"/>
    </row>
    <row r="123" ht="14.25" customHeight="1" s="120">
      <c r="A123" s="220" t="n"/>
    </row>
    <row r="124" ht="14.25" customHeight="1" s="120">
      <c r="A124" s="220" t="n"/>
    </row>
    <row r="125" ht="14.25" customHeight="1" s="120">
      <c r="A125" s="220" t="n"/>
    </row>
    <row r="126" ht="14.25" customHeight="1" s="120">
      <c r="A126" s="220" t="n"/>
    </row>
    <row r="127" ht="14.25" customHeight="1" s="120">
      <c r="A127" s="220" t="n"/>
    </row>
    <row r="128" ht="14.25" customHeight="1" s="120">
      <c r="A128" s="220" t="n"/>
    </row>
    <row r="129" ht="14.25" customHeight="1" s="120">
      <c r="A129" s="220" t="n"/>
    </row>
    <row r="130" ht="14.25" customHeight="1" s="120">
      <c r="A130" s="220" t="n"/>
    </row>
    <row r="131" ht="14.25" customHeight="1" s="120">
      <c r="A131" s="220" t="n"/>
    </row>
    <row r="132" ht="14.25" customHeight="1" s="120">
      <c r="A132" s="220" t="n"/>
    </row>
    <row r="133" ht="14.25" customHeight="1" s="120">
      <c r="A133" s="220" t="n"/>
    </row>
    <row r="134" ht="14.25" customHeight="1" s="120">
      <c r="A134" s="220" t="n"/>
    </row>
    <row r="135" ht="14.25" customHeight="1" s="120">
      <c r="A135" s="220" t="n"/>
    </row>
    <row r="136" ht="14.25" customHeight="1" s="120">
      <c r="A136" s="220" t="n"/>
    </row>
    <row r="137" ht="14.25" customHeight="1" s="120">
      <c r="A137" s="220" t="n"/>
    </row>
    <row r="138" ht="14.25" customHeight="1" s="120">
      <c r="A138" s="220" t="n"/>
    </row>
    <row r="139" ht="14.25" customHeight="1" s="120">
      <c r="A139" s="220" t="n"/>
    </row>
    <row r="140" ht="14.25" customHeight="1" s="120">
      <c r="A140" s="220" t="n"/>
    </row>
    <row r="141" ht="14.25" customHeight="1" s="120">
      <c r="A141" s="220" t="n"/>
    </row>
    <row r="142" ht="14.25" customHeight="1" s="120">
      <c r="A142" s="220" t="n"/>
    </row>
    <row r="143" ht="14.25" customHeight="1" s="120">
      <c r="A143" s="220" t="n"/>
    </row>
    <row r="144" ht="14.25" customHeight="1" s="120">
      <c r="A144" s="220" t="n"/>
    </row>
    <row r="145" ht="14.25" customHeight="1" s="120">
      <c r="A145" s="220" t="n"/>
    </row>
    <row r="146" ht="14.25" customHeight="1" s="120">
      <c r="A146" s="220" t="n"/>
    </row>
    <row r="147" ht="14.25" customHeight="1" s="120">
      <c r="A147" s="220" t="n"/>
    </row>
    <row r="148" ht="14.25" customHeight="1" s="120">
      <c r="A148" s="220" t="n"/>
    </row>
    <row r="149" ht="14.25" customHeight="1" s="120">
      <c r="A149" s="220" t="n"/>
    </row>
    <row r="150" ht="14.25" customHeight="1" s="120">
      <c r="A150" s="220" t="n"/>
    </row>
    <row r="151" ht="14.25" customHeight="1" s="120">
      <c r="A151" s="220" t="n"/>
    </row>
    <row r="152" ht="14.25" customHeight="1" s="120">
      <c r="A152" s="220" t="n"/>
    </row>
    <row r="153" ht="14.25" customHeight="1" s="120">
      <c r="A153" s="220" t="n"/>
    </row>
    <row r="154" ht="14.25" customHeight="1" s="120">
      <c r="A154" s="220" t="n"/>
    </row>
    <row r="155" ht="14.25" customHeight="1" s="120">
      <c r="A155" s="220" t="n"/>
    </row>
    <row r="156" ht="14.25" customHeight="1" s="120">
      <c r="A156" s="220" t="n"/>
    </row>
    <row r="157" ht="14.25" customHeight="1" s="120">
      <c r="A157" s="220" t="n"/>
    </row>
    <row r="158" ht="14.25" customHeight="1" s="120">
      <c r="A158" s="220" t="n"/>
    </row>
    <row r="159" ht="14.25" customHeight="1" s="120">
      <c r="A159" s="220" t="n"/>
    </row>
    <row r="160" ht="14.25" customHeight="1" s="120">
      <c r="A160" s="220" t="n"/>
    </row>
    <row r="161" ht="14.25" customHeight="1" s="120">
      <c r="A161" s="220" t="n"/>
    </row>
    <row r="162" ht="14.25" customHeight="1" s="120">
      <c r="A162" s="220" t="n"/>
    </row>
    <row r="163" ht="14.25" customHeight="1" s="120">
      <c r="A163" s="220" t="n"/>
    </row>
    <row r="164" ht="14.25" customHeight="1" s="120">
      <c r="A164" s="220" t="n"/>
    </row>
    <row r="165" ht="14.25" customHeight="1" s="120">
      <c r="A165" s="220" t="n"/>
    </row>
    <row r="166" ht="14.25" customHeight="1" s="120">
      <c r="A166" s="220" t="n"/>
    </row>
    <row r="167" ht="14.25" customHeight="1" s="120">
      <c r="A167" s="220" t="n"/>
    </row>
    <row r="168" ht="14.25" customHeight="1" s="120">
      <c r="A168" s="220" t="n"/>
    </row>
    <row r="169" ht="14.25" customHeight="1" s="120">
      <c r="A169" s="220" t="n"/>
    </row>
    <row r="170" ht="14.25" customHeight="1" s="120">
      <c r="A170" s="220" t="n"/>
    </row>
    <row r="171" ht="14.25" customHeight="1" s="120">
      <c r="A171" s="220" t="n"/>
    </row>
    <row r="172" ht="14.25" customHeight="1" s="120">
      <c r="A172" s="220" t="n"/>
    </row>
    <row r="173" ht="14.25" customHeight="1" s="120">
      <c r="A173" s="220" t="n"/>
    </row>
    <row r="174" ht="14.25" customHeight="1" s="120">
      <c r="A174" s="220" t="n"/>
    </row>
    <row r="175" ht="14.25" customHeight="1" s="120">
      <c r="A175" s="220" t="n"/>
    </row>
    <row r="176" ht="14.25" customHeight="1" s="120">
      <c r="A176" s="220" t="n"/>
    </row>
    <row r="177" ht="14.25" customHeight="1" s="120">
      <c r="A177" s="220" t="n"/>
    </row>
    <row r="178" ht="14.25" customHeight="1" s="120">
      <c r="A178" s="220" t="n"/>
    </row>
    <row r="179" ht="14.25" customHeight="1" s="120">
      <c r="A179" s="220" t="n"/>
    </row>
    <row r="180" ht="14.25" customHeight="1" s="120">
      <c r="A180" s="220" t="n"/>
    </row>
    <row r="181" ht="14.25" customHeight="1" s="120">
      <c r="A181" s="220" t="n"/>
    </row>
    <row r="182" ht="14.25" customHeight="1" s="120">
      <c r="A182" s="220" t="n"/>
    </row>
    <row r="183" ht="14.25" customHeight="1" s="120">
      <c r="A183" s="220" t="n"/>
    </row>
    <row r="184" ht="14.25" customHeight="1" s="120">
      <c r="A184" s="220" t="n"/>
    </row>
    <row r="185" ht="14.25" customHeight="1" s="120">
      <c r="A185" s="220" t="n"/>
    </row>
    <row r="186" ht="14.25" customHeight="1" s="120">
      <c r="A186" s="220" t="n"/>
    </row>
    <row r="187" ht="14.25" customHeight="1" s="120">
      <c r="A187" s="220" t="n"/>
    </row>
    <row r="188" ht="14.25" customHeight="1" s="120">
      <c r="A188" s="220" t="n"/>
    </row>
    <row r="189" ht="14.25" customHeight="1" s="120">
      <c r="A189" s="220" t="n"/>
    </row>
    <row r="190" ht="14.25" customHeight="1" s="120">
      <c r="A190" s="220" t="n"/>
    </row>
    <row r="191" ht="14.25" customHeight="1" s="120">
      <c r="A191" s="220" t="n"/>
    </row>
    <row r="192" ht="14.25" customHeight="1" s="120">
      <c r="A192" s="220" t="n"/>
    </row>
    <row r="193" ht="14.25" customHeight="1" s="120">
      <c r="A193" s="220" t="n"/>
    </row>
    <row r="194" ht="14.25" customHeight="1" s="120">
      <c r="A194" s="220" t="n"/>
    </row>
    <row r="195" ht="14.25" customHeight="1" s="120">
      <c r="A195" s="220" t="n"/>
    </row>
    <row r="196" ht="14.25" customHeight="1" s="120">
      <c r="A196" s="220" t="n"/>
    </row>
    <row r="197" ht="14.25" customHeight="1" s="120">
      <c r="A197" s="220" t="n"/>
    </row>
    <row r="198" ht="14.25" customHeight="1" s="120">
      <c r="A198" s="220" t="n"/>
    </row>
    <row r="199" ht="14.25" customHeight="1" s="120">
      <c r="A199" s="220" t="n"/>
    </row>
    <row r="200" ht="14.25" customHeight="1" s="120">
      <c r="A200" s="220" t="n"/>
    </row>
    <row r="201" ht="14.25" customHeight="1" s="120">
      <c r="A201" s="220" t="n"/>
    </row>
    <row r="202" ht="14.25" customHeight="1" s="120">
      <c r="A202" s="220" t="n"/>
    </row>
    <row r="203" ht="14.25" customHeight="1" s="120">
      <c r="A203" s="220" t="n"/>
    </row>
    <row r="204" ht="14.25" customHeight="1" s="120">
      <c r="A204" s="220" t="n"/>
    </row>
    <row r="205" ht="14.25" customHeight="1" s="120">
      <c r="A205" s="220" t="n"/>
    </row>
    <row r="206" ht="14.25" customHeight="1" s="120">
      <c r="A206" s="220" t="n"/>
    </row>
    <row r="207" ht="14.25" customHeight="1" s="120">
      <c r="A207" s="220" t="n"/>
    </row>
    <row r="208" ht="14.25" customHeight="1" s="120">
      <c r="A208" s="220" t="n"/>
    </row>
    <row r="209" ht="14.25" customHeight="1" s="120">
      <c r="A209" s="220" t="n"/>
    </row>
    <row r="210" ht="14.25" customHeight="1" s="120">
      <c r="A210" s="220" t="n"/>
    </row>
    <row r="211" ht="14.25" customHeight="1" s="120">
      <c r="A211" s="220" t="n"/>
    </row>
    <row r="212" ht="14.25" customHeight="1" s="120">
      <c r="A212" s="220" t="n"/>
    </row>
    <row r="213" ht="14.25" customHeight="1" s="120">
      <c r="A213" s="220" t="n"/>
    </row>
    <row r="214" ht="14.25" customHeight="1" s="120">
      <c r="A214" s="220" t="n"/>
    </row>
    <row r="215" ht="14.25" customHeight="1" s="120">
      <c r="A215" s="220" t="n"/>
    </row>
    <row r="216" ht="14.25" customHeight="1" s="120">
      <c r="A216" s="220" t="n"/>
    </row>
    <row r="217" ht="14.25" customHeight="1" s="120">
      <c r="A217" s="220" t="n"/>
    </row>
    <row r="218" ht="14.25" customHeight="1" s="120">
      <c r="A218" s="220" t="n"/>
    </row>
    <row r="219" ht="14.25" customHeight="1" s="120">
      <c r="A219" s="220" t="n"/>
    </row>
    <row r="220" ht="14.25" customHeight="1" s="120">
      <c r="A220" s="220" t="n"/>
    </row>
    <row r="221" ht="14.25" customHeight="1" s="120">
      <c r="A221" s="220" t="n"/>
    </row>
    <row r="222" ht="14.25" customHeight="1" s="120">
      <c r="A222" s="220" t="n"/>
    </row>
    <row r="223" ht="14.25" customHeight="1" s="120">
      <c r="A223" s="220" t="n"/>
    </row>
    <row r="224" ht="14.25" customHeight="1" s="120">
      <c r="A224" s="220" t="n"/>
    </row>
    <row r="225" ht="14.25" customHeight="1" s="120">
      <c r="A225" s="220" t="n"/>
    </row>
    <row r="226" ht="14.25" customHeight="1" s="120">
      <c r="A226" s="220" t="n"/>
    </row>
    <row r="227" ht="14.25" customHeight="1" s="120">
      <c r="A227" s="220" t="n"/>
    </row>
    <row r="228" ht="14.25" customHeight="1" s="120">
      <c r="A228" s="220" t="n"/>
    </row>
    <row r="229" ht="14.25" customHeight="1" s="120">
      <c r="A229" s="220" t="n"/>
    </row>
    <row r="230" ht="14.25" customHeight="1" s="120">
      <c r="A230" s="220" t="n"/>
    </row>
    <row r="231" ht="14.25" customHeight="1" s="120">
      <c r="A231" s="220" t="n"/>
    </row>
    <row r="232" ht="14.25" customHeight="1" s="120">
      <c r="A232" s="220" t="n"/>
    </row>
    <row r="233" ht="14.25" customHeight="1" s="120">
      <c r="A233" s="220" t="n"/>
    </row>
    <row r="234" ht="14.25" customHeight="1" s="120">
      <c r="A234" s="220" t="n"/>
    </row>
    <row r="235" ht="14.25" customHeight="1" s="120">
      <c r="A235" s="220" t="n"/>
    </row>
    <row r="236" ht="14.25" customHeight="1" s="120">
      <c r="A236" s="220" t="n"/>
    </row>
    <row r="237" ht="14.25" customHeight="1" s="120">
      <c r="A237" s="220" t="n"/>
    </row>
    <row r="238" ht="14.25" customHeight="1" s="120">
      <c r="A238" s="220" t="n"/>
    </row>
    <row r="239" ht="14.25" customHeight="1" s="120">
      <c r="A239" s="220" t="n"/>
    </row>
    <row r="240" ht="14.25" customHeight="1" s="120">
      <c r="A240" s="220" t="n"/>
    </row>
    <row r="241" ht="14.25" customHeight="1" s="120">
      <c r="A241" s="220" t="n"/>
    </row>
    <row r="242" ht="14.25" customHeight="1" s="120">
      <c r="A242" s="220" t="n"/>
    </row>
    <row r="243" ht="14.25" customHeight="1" s="120">
      <c r="A243" s="220" t="n"/>
    </row>
    <row r="244" ht="14.25" customHeight="1" s="120">
      <c r="A244" s="220" t="n"/>
    </row>
    <row r="245" ht="14.25" customHeight="1" s="120">
      <c r="A245" s="220" t="n"/>
    </row>
    <row r="246" ht="14.25" customHeight="1" s="120">
      <c r="A246" s="220" t="n"/>
    </row>
    <row r="247" ht="14.25" customHeight="1" s="120">
      <c r="A247" s="220" t="n"/>
    </row>
    <row r="248" ht="14.25" customHeight="1" s="120">
      <c r="A248" s="220" t="n"/>
    </row>
    <row r="249" ht="14.25" customHeight="1" s="120">
      <c r="A249" s="220" t="n"/>
    </row>
    <row r="250" ht="14.25" customHeight="1" s="120">
      <c r="A250" s="220" t="n"/>
    </row>
    <row r="251" ht="14.25" customHeight="1" s="120">
      <c r="A251" s="220" t="n"/>
    </row>
    <row r="252" ht="14.25" customHeight="1" s="120">
      <c r="A252" s="220" t="n"/>
    </row>
    <row r="253" ht="14.25" customHeight="1" s="120">
      <c r="A253" s="220" t="n"/>
    </row>
    <row r="254" ht="14.25" customHeight="1" s="120">
      <c r="A254" s="220" t="n"/>
    </row>
    <row r="255" ht="14.25" customHeight="1" s="120">
      <c r="A255" s="220" t="n"/>
    </row>
    <row r="256" ht="14.25" customHeight="1" s="120">
      <c r="A256" s="220" t="n"/>
    </row>
    <row r="257" ht="14.25" customHeight="1" s="120">
      <c r="A257" s="220" t="n"/>
    </row>
    <row r="258" ht="14.25" customHeight="1" s="120">
      <c r="A258" s="220" t="n"/>
    </row>
    <row r="259" ht="14.25" customHeight="1" s="120">
      <c r="A259" s="220" t="n"/>
    </row>
    <row r="260" ht="14.25" customHeight="1" s="120">
      <c r="A260" s="220" t="n"/>
    </row>
    <row r="261" ht="14.25" customHeight="1" s="120">
      <c r="A261" s="220" t="n"/>
    </row>
    <row r="262" ht="14.25" customHeight="1" s="120">
      <c r="A262" s="220" t="n"/>
    </row>
    <row r="263" ht="14.25" customHeight="1" s="120">
      <c r="A263" s="220" t="n"/>
    </row>
    <row r="264" ht="14.25" customHeight="1" s="120">
      <c r="A264" s="220" t="n"/>
    </row>
    <row r="265" ht="14.25" customHeight="1" s="120">
      <c r="A265" s="220" t="n"/>
    </row>
    <row r="266" ht="14.25" customHeight="1" s="120">
      <c r="A266" s="220" t="n"/>
    </row>
    <row r="267" ht="14.25" customHeight="1" s="120">
      <c r="A267" s="220" t="n"/>
    </row>
    <row r="268" ht="14.25" customHeight="1" s="120">
      <c r="A268" s="220" t="n"/>
    </row>
    <row r="269" ht="14.25" customHeight="1" s="120">
      <c r="A269" s="220" t="n"/>
    </row>
    <row r="270" ht="14.25" customHeight="1" s="120">
      <c r="A270" s="220" t="n"/>
    </row>
    <row r="271" ht="14.25" customHeight="1" s="120">
      <c r="A271" s="220" t="n"/>
    </row>
    <row r="272" ht="14.25" customHeight="1" s="120">
      <c r="A272" s="220" t="n"/>
    </row>
    <row r="273" ht="14.25" customHeight="1" s="120">
      <c r="A273" s="220" t="n"/>
    </row>
    <row r="274" ht="14.25" customHeight="1" s="120">
      <c r="A274" s="220" t="n"/>
    </row>
    <row r="275" ht="14.25" customHeight="1" s="120">
      <c r="A275" s="220" t="n"/>
    </row>
    <row r="276" ht="14.25" customHeight="1" s="120">
      <c r="A276" s="220" t="n"/>
    </row>
    <row r="277" ht="14.25" customHeight="1" s="120">
      <c r="A277" s="220" t="n"/>
    </row>
    <row r="278" ht="14.25" customHeight="1" s="120">
      <c r="A278" s="220" t="n"/>
    </row>
    <row r="279" ht="14.25" customHeight="1" s="120">
      <c r="A279" s="220" t="n"/>
    </row>
    <row r="280" ht="14.25" customHeight="1" s="120">
      <c r="A280" s="220" t="n"/>
    </row>
    <row r="281" ht="14.25" customHeight="1" s="120">
      <c r="A281" s="220" t="n"/>
    </row>
    <row r="282" ht="14.25" customHeight="1" s="120">
      <c r="A282" s="220" t="n"/>
    </row>
    <row r="283" ht="14.25" customHeight="1" s="120">
      <c r="A283" s="220" t="n"/>
    </row>
    <row r="284" ht="14.25" customHeight="1" s="120">
      <c r="A284" s="220" t="n"/>
    </row>
    <row r="285" ht="14.25" customHeight="1" s="120">
      <c r="A285" s="220" t="n"/>
    </row>
    <row r="286" ht="14.25" customHeight="1" s="120">
      <c r="A286" s="220" t="n"/>
    </row>
    <row r="287" ht="14.25" customHeight="1" s="120">
      <c r="A287" s="220" t="n"/>
    </row>
    <row r="288" ht="14.25" customHeight="1" s="120">
      <c r="A288" s="220" t="n"/>
    </row>
    <row r="289" ht="14.25" customHeight="1" s="120">
      <c r="A289" s="220" t="n"/>
    </row>
    <row r="290" ht="14.25" customHeight="1" s="120">
      <c r="A290" s="220" t="n"/>
    </row>
    <row r="291" ht="14.25" customHeight="1" s="120">
      <c r="A291" s="220" t="n"/>
    </row>
    <row r="292" ht="14.25" customHeight="1" s="120">
      <c r="A292" s="220" t="n"/>
    </row>
    <row r="293" ht="14.25" customHeight="1" s="120">
      <c r="A293" s="220" t="n"/>
    </row>
    <row r="294" ht="14.25" customHeight="1" s="120">
      <c r="A294" s="220" t="n"/>
    </row>
    <row r="295" ht="14.25" customHeight="1" s="120">
      <c r="A295" s="220" t="n"/>
    </row>
    <row r="296" ht="14.25" customHeight="1" s="120">
      <c r="A296" s="220" t="n"/>
    </row>
    <row r="297" ht="14.25" customHeight="1" s="120">
      <c r="A297" s="220" t="n"/>
    </row>
    <row r="298" ht="14.25" customHeight="1" s="120">
      <c r="A298" s="220" t="n"/>
    </row>
    <row r="299" ht="14.25" customHeight="1" s="120">
      <c r="A299" s="220" t="n"/>
    </row>
    <row r="300" ht="14.25" customHeight="1" s="120">
      <c r="A300" s="220" t="n"/>
    </row>
    <row r="301" ht="14.25" customHeight="1" s="120">
      <c r="A301" s="220" t="n"/>
    </row>
    <row r="302" ht="14.25" customHeight="1" s="120">
      <c r="A302" s="220" t="n"/>
    </row>
    <row r="303" ht="14.25" customHeight="1" s="120">
      <c r="A303" s="220" t="n"/>
    </row>
    <row r="304" ht="14.25" customHeight="1" s="120">
      <c r="A304" s="220" t="n"/>
    </row>
    <row r="305" ht="14.25" customHeight="1" s="120">
      <c r="A305" s="220" t="n"/>
    </row>
    <row r="306" ht="14.25" customHeight="1" s="120">
      <c r="A306" s="220" t="n"/>
    </row>
    <row r="307" ht="14.25" customHeight="1" s="120">
      <c r="A307" s="220" t="n"/>
    </row>
    <row r="308" ht="14.25" customHeight="1" s="120">
      <c r="A308" s="220" t="n"/>
    </row>
    <row r="309" ht="14.25" customHeight="1" s="120">
      <c r="A309" s="220" t="n"/>
    </row>
    <row r="310" ht="14.25" customHeight="1" s="120">
      <c r="A310" s="220" t="n"/>
    </row>
    <row r="311" ht="14.25" customHeight="1" s="120">
      <c r="A311" s="220" t="n"/>
    </row>
    <row r="312" ht="14.25" customHeight="1" s="120">
      <c r="A312" s="220" t="n"/>
    </row>
    <row r="313" ht="14.25" customHeight="1" s="120">
      <c r="A313" s="220" t="n"/>
    </row>
    <row r="314" ht="14.25" customHeight="1" s="120">
      <c r="A314" s="220" t="n"/>
    </row>
    <row r="315" ht="14.25" customHeight="1" s="120">
      <c r="A315" s="220" t="n"/>
    </row>
    <row r="316" ht="14.25" customHeight="1" s="120">
      <c r="A316" s="220" t="n"/>
    </row>
    <row r="317" ht="14.25" customHeight="1" s="120">
      <c r="A317" s="220" t="n"/>
    </row>
    <row r="318" ht="14.25" customHeight="1" s="120">
      <c r="A318" s="220" t="n"/>
    </row>
    <row r="319" ht="14.25" customHeight="1" s="120">
      <c r="A319" s="220" t="n"/>
    </row>
    <row r="320" ht="14.25" customHeight="1" s="120">
      <c r="A320" s="220" t="n"/>
    </row>
    <row r="321" ht="14.25" customHeight="1" s="120">
      <c r="A321" s="220" t="n"/>
    </row>
    <row r="322" ht="14.25" customHeight="1" s="120">
      <c r="A322" s="220" t="n"/>
    </row>
    <row r="323" ht="14.25" customHeight="1" s="120">
      <c r="A323" s="220" t="n"/>
    </row>
    <row r="324" ht="14.25" customHeight="1" s="120">
      <c r="A324" s="220" t="n"/>
    </row>
    <row r="325" ht="14.25" customHeight="1" s="120">
      <c r="A325" s="220" t="n"/>
    </row>
    <row r="326" ht="14.25" customHeight="1" s="120">
      <c r="A326" s="220" t="n"/>
    </row>
    <row r="327" ht="14.25" customHeight="1" s="120">
      <c r="A327" s="220" t="n"/>
    </row>
    <row r="328" ht="14.25" customHeight="1" s="120">
      <c r="A328" s="220" t="n"/>
    </row>
    <row r="329" ht="14.25" customHeight="1" s="120">
      <c r="A329" s="220" t="n"/>
    </row>
    <row r="330" ht="14.25" customHeight="1" s="120">
      <c r="A330" s="220" t="n"/>
    </row>
    <row r="331" ht="14.25" customHeight="1" s="120">
      <c r="A331" s="220" t="n"/>
    </row>
    <row r="332" ht="14.25" customHeight="1" s="120">
      <c r="A332" s="220" t="n"/>
    </row>
    <row r="333" ht="14.25" customHeight="1" s="120">
      <c r="A333" s="220" t="n"/>
    </row>
    <row r="334" ht="14.25" customHeight="1" s="120">
      <c r="A334" s="220" t="n"/>
    </row>
    <row r="335" ht="14.25" customHeight="1" s="120">
      <c r="A335" s="220" t="n"/>
    </row>
    <row r="336" ht="14.25" customHeight="1" s="120">
      <c r="A336" s="220" t="n"/>
    </row>
    <row r="337" ht="14.25" customHeight="1" s="120">
      <c r="A337" s="220" t="n"/>
    </row>
    <row r="338" ht="14.25" customHeight="1" s="120">
      <c r="A338" s="220" t="n"/>
    </row>
    <row r="339" ht="14.25" customHeight="1" s="120">
      <c r="A339" s="220" t="n"/>
    </row>
    <row r="340" ht="14.25" customHeight="1" s="120">
      <c r="A340" s="220" t="n"/>
    </row>
    <row r="341" ht="14.25" customHeight="1" s="120">
      <c r="A341" s="220" t="n"/>
    </row>
    <row r="342" ht="14.25" customHeight="1" s="120">
      <c r="A342" s="220" t="n"/>
    </row>
    <row r="343" ht="14.25" customHeight="1" s="120">
      <c r="A343" s="220" t="n"/>
    </row>
    <row r="344" ht="14.25" customHeight="1" s="120">
      <c r="A344" s="220" t="n"/>
    </row>
    <row r="345" ht="14.25" customHeight="1" s="120">
      <c r="A345" s="220" t="n"/>
    </row>
    <row r="346" ht="14.25" customHeight="1" s="120">
      <c r="A346" s="220" t="n"/>
    </row>
    <row r="347" ht="14.25" customHeight="1" s="120">
      <c r="A347" s="220" t="n"/>
    </row>
    <row r="348" ht="14.25" customHeight="1" s="120">
      <c r="A348" s="220" t="n"/>
    </row>
    <row r="349" ht="14.25" customHeight="1" s="120">
      <c r="A349" s="220" t="n"/>
    </row>
    <row r="350" ht="14.25" customHeight="1" s="120">
      <c r="A350" s="220" t="n"/>
    </row>
    <row r="351" ht="14.25" customHeight="1" s="120">
      <c r="A351" s="220" t="n"/>
    </row>
    <row r="352" ht="14.25" customHeight="1" s="120">
      <c r="A352" s="220" t="n"/>
    </row>
    <row r="353" ht="14.25" customHeight="1" s="120">
      <c r="A353" s="220" t="n"/>
    </row>
    <row r="354" ht="14.25" customHeight="1" s="120">
      <c r="A354" s="220" t="n"/>
    </row>
    <row r="355" ht="14.25" customHeight="1" s="120">
      <c r="A355" s="220" t="n"/>
    </row>
    <row r="356" ht="14.25" customHeight="1" s="120">
      <c r="A356" s="220" t="n"/>
    </row>
    <row r="357" ht="14.25" customHeight="1" s="120">
      <c r="A357" s="220" t="n"/>
    </row>
    <row r="358" ht="14.25" customHeight="1" s="120">
      <c r="A358" s="220" t="n"/>
    </row>
    <row r="359" ht="14.25" customHeight="1" s="120">
      <c r="A359" s="220" t="n"/>
    </row>
    <row r="360" ht="14.25" customHeight="1" s="120">
      <c r="A360" s="220" t="n"/>
    </row>
    <row r="361" ht="14.25" customHeight="1" s="120">
      <c r="A361" s="220" t="n"/>
    </row>
    <row r="362" ht="14.25" customHeight="1" s="120">
      <c r="A362" s="220" t="n"/>
    </row>
    <row r="363" ht="14.25" customHeight="1" s="120">
      <c r="A363" s="220" t="n"/>
    </row>
    <row r="364" ht="14.25" customHeight="1" s="120">
      <c r="A364" s="220" t="n"/>
    </row>
    <row r="365" ht="14.25" customHeight="1" s="120">
      <c r="A365" s="220" t="n"/>
    </row>
    <row r="366" ht="14.25" customHeight="1" s="120">
      <c r="A366" s="220" t="n"/>
    </row>
    <row r="367" ht="14.25" customHeight="1" s="120">
      <c r="A367" s="220" t="n"/>
    </row>
    <row r="368" ht="14.25" customHeight="1" s="120">
      <c r="A368" s="220" t="n"/>
    </row>
    <row r="369" ht="14.25" customHeight="1" s="120">
      <c r="A369" s="220" t="n"/>
    </row>
    <row r="370" ht="14.25" customHeight="1" s="120">
      <c r="A370" s="220" t="n"/>
    </row>
    <row r="371" ht="14.25" customHeight="1" s="120">
      <c r="A371" s="220" t="n"/>
    </row>
    <row r="372" ht="14.25" customHeight="1" s="120">
      <c r="A372" s="220" t="n"/>
    </row>
    <row r="373" ht="14.25" customHeight="1" s="120">
      <c r="A373" s="220" t="n"/>
    </row>
    <row r="374" ht="14.25" customHeight="1" s="120">
      <c r="A374" s="220" t="n"/>
    </row>
    <row r="375" ht="14.25" customHeight="1" s="120">
      <c r="A375" s="220" t="n"/>
    </row>
    <row r="376" ht="14.25" customHeight="1" s="120">
      <c r="A376" s="220" t="n"/>
    </row>
    <row r="377" ht="14.25" customHeight="1" s="120">
      <c r="A377" s="220" t="n"/>
    </row>
    <row r="378" ht="14.25" customHeight="1" s="120">
      <c r="A378" s="220" t="n"/>
    </row>
    <row r="379" ht="14.25" customHeight="1" s="120">
      <c r="A379" s="220" t="n"/>
    </row>
    <row r="380" ht="14.25" customHeight="1" s="120">
      <c r="A380" s="220" t="n"/>
    </row>
    <row r="381" ht="14.25" customHeight="1" s="120">
      <c r="A381" s="220" t="n"/>
    </row>
    <row r="382" ht="14.25" customHeight="1" s="120">
      <c r="A382" s="220" t="n"/>
    </row>
    <row r="383" ht="14.25" customHeight="1" s="120">
      <c r="A383" s="220" t="n"/>
    </row>
    <row r="384" ht="14.25" customHeight="1" s="120">
      <c r="A384" s="220" t="n"/>
    </row>
    <row r="385" ht="14.25" customHeight="1" s="120">
      <c r="A385" s="220" t="n"/>
    </row>
    <row r="386" ht="14.25" customHeight="1" s="120">
      <c r="A386" s="220" t="n"/>
    </row>
    <row r="387" ht="14.25" customHeight="1" s="120">
      <c r="A387" s="220" t="n"/>
    </row>
    <row r="388" ht="14.25" customHeight="1" s="120">
      <c r="A388" s="220" t="n"/>
    </row>
    <row r="389" ht="14.25" customHeight="1" s="120">
      <c r="A389" s="220" t="n"/>
    </row>
    <row r="390" ht="14.25" customHeight="1" s="120">
      <c r="A390" s="220" t="n"/>
    </row>
    <row r="391" ht="14.25" customHeight="1" s="120">
      <c r="A391" s="220" t="n"/>
    </row>
    <row r="392" ht="14.25" customHeight="1" s="120">
      <c r="A392" s="220" t="n"/>
    </row>
    <row r="393" ht="14.25" customHeight="1" s="120">
      <c r="A393" s="220" t="n"/>
    </row>
    <row r="394" ht="14.25" customHeight="1" s="120">
      <c r="A394" s="220" t="n"/>
    </row>
    <row r="395" ht="14.25" customHeight="1" s="120">
      <c r="A395" s="220" t="n"/>
    </row>
    <row r="396" ht="14.25" customHeight="1" s="120">
      <c r="A396" s="220" t="n"/>
    </row>
    <row r="397" ht="14.25" customHeight="1" s="120">
      <c r="A397" s="220" t="n"/>
    </row>
    <row r="398" ht="14.25" customHeight="1" s="120">
      <c r="A398" s="220" t="n"/>
    </row>
    <row r="399" ht="14.25" customHeight="1" s="120">
      <c r="A399" s="220" t="n"/>
    </row>
    <row r="400" ht="14.25" customHeight="1" s="120">
      <c r="A400" s="220" t="n"/>
    </row>
    <row r="401" ht="14.25" customHeight="1" s="120">
      <c r="A401" s="220" t="n"/>
    </row>
    <row r="402" ht="14.25" customHeight="1" s="120">
      <c r="A402" s="220" t="n"/>
    </row>
    <row r="403" ht="14.25" customHeight="1" s="120">
      <c r="A403" s="220" t="n"/>
    </row>
    <row r="404" ht="14.25" customHeight="1" s="120">
      <c r="A404" s="220" t="n"/>
    </row>
    <row r="405" ht="14.25" customHeight="1" s="120">
      <c r="A405" s="220" t="n"/>
    </row>
    <row r="406" ht="14.25" customHeight="1" s="120">
      <c r="A406" s="220" t="n"/>
    </row>
    <row r="407" ht="14.25" customHeight="1" s="120">
      <c r="A407" s="220" t="n"/>
    </row>
    <row r="408" ht="14.25" customHeight="1" s="120">
      <c r="A408" s="220" t="n"/>
    </row>
    <row r="409" ht="14.25" customHeight="1" s="120">
      <c r="A409" s="220" t="n"/>
    </row>
    <row r="410" ht="14.25" customHeight="1" s="120">
      <c r="A410" s="220" t="n"/>
    </row>
    <row r="411" ht="14.25" customHeight="1" s="120">
      <c r="A411" s="220" t="n"/>
    </row>
    <row r="412" ht="14.25" customHeight="1" s="120">
      <c r="A412" s="220" t="n"/>
    </row>
    <row r="413" ht="14.25" customHeight="1" s="120">
      <c r="A413" s="220" t="n"/>
    </row>
    <row r="414" ht="14.25" customHeight="1" s="120">
      <c r="A414" s="220" t="n"/>
    </row>
    <row r="415" ht="14.25" customHeight="1" s="120">
      <c r="A415" s="220" t="n"/>
    </row>
    <row r="416" ht="14.25" customHeight="1" s="120">
      <c r="A416" s="220" t="n"/>
    </row>
    <row r="417" ht="14.25" customHeight="1" s="120">
      <c r="A417" s="220" t="n"/>
    </row>
    <row r="418" ht="14.25" customHeight="1" s="120">
      <c r="A418" s="220" t="n"/>
    </row>
    <row r="419" ht="14.25" customHeight="1" s="120">
      <c r="A419" s="220" t="n"/>
    </row>
    <row r="420" ht="14.25" customHeight="1" s="120">
      <c r="A420" s="220" t="n"/>
    </row>
    <row r="421" ht="14.25" customHeight="1" s="120">
      <c r="A421" s="220" t="n"/>
    </row>
    <row r="422" ht="14.25" customHeight="1" s="120">
      <c r="A422" s="220" t="n"/>
    </row>
    <row r="423" ht="14.25" customHeight="1" s="120">
      <c r="A423" s="220" t="n"/>
    </row>
    <row r="424" ht="14.25" customHeight="1" s="120">
      <c r="A424" s="220" t="n"/>
    </row>
    <row r="425" ht="14.25" customHeight="1" s="120">
      <c r="A425" s="220" t="n"/>
    </row>
    <row r="426" ht="14.25" customHeight="1" s="120">
      <c r="A426" s="220" t="n"/>
    </row>
    <row r="427" ht="14.25" customHeight="1" s="120">
      <c r="A427" s="220" t="n"/>
    </row>
    <row r="428" ht="14.25" customHeight="1" s="120">
      <c r="A428" s="220" t="n"/>
    </row>
    <row r="429" ht="14.25" customHeight="1" s="120">
      <c r="A429" s="220" t="n"/>
    </row>
    <row r="430" ht="14.25" customHeight="1" s="120">
      <c r="A430" s="220" t="n"/>
    </row>
    <row r="431" ht="14.25" customHeight="1" s="120">
      <c r="A431" s="220" t="n"/>
    </row>
    <row r="432" ht="14.25" customHeight="1" s="120">
      <c r="A432" s="220" t="n"/>
    </row>
    <row r="433" ht="14.25" customHeight="1" s="120">
      <c r="A433" s="220" t="n"/>
    </row>
    <row r="434" ht="14.25" customHeight="1" s="120">
      <c r="A434" s="220" t="n"/>
    </row>
    <row r="435" ht="14.25" customHeight="1" s="120">
      <c r="A435" s="220" t="n"/>
    </row>
    <row r="436" ht="14.25" customHeight="1" s="120">
      <c r="A436" s="220" t="n"/>
    </row>
    <row r="437" ht="14.25" customHeight="1" s="120">
      <c r="A437" s="220" t="n"/>
    </row>
    <row r="438" ht="14.25" customHeight="1" s="120">
      <c r="A438" s="220" t="n"/>
    </row>
    <row r="439" ht="14.25" customHeight="1" s="120">
      <c r="A439" s="220" t="n"/>
    </row>
    <row r="440" ht="14.25" customHeight="1" s="120">
      <c r="A440" s="220" t="n"/>
    </row>
    <row r="441" ht="14.25" customHeight="1" s="120">
      <c r="A441" s="220" t="n"/>
    </row>
    <row r="442" ht="14.25" customHeight="1" s="120">
      <c r="A442" s="220" t="n"/>
    </row>
    <row r="443" ht="14.25" customHeight="1" s="120">
      <c r="A443" s="220" t="n"/>
    </row>
    <row r="444" ht="14.25" customHeight="1" s="120">
      <c r="A444" s="220" t="n"/>
    </row>
    <row r="445" ht="14.25" customHeight="1" s="120">
      <c r="A445" s="220" t="n"/>
    </row>
    <row r="446" ht="14.25" customHeight="1" s="120">
      <c r="A446" s="220" t="n"/>
    </row>
    <row r="447" ht="14.25" customHeight="1" s="120">
      <c r="A447" s="220" t="n"/>
    </row>
    <row r="448" ht="14.25" customHeight="1" s="120">
      <c r="A448" s="220" t="n"/>
    </row>
    <row r="449" ht="14.25" customHeight="1" s="120">
      <c r="A449" s="220" t="n"/>
    </row>
    <row r="450" ht="14.25" customHeight="1" s="120">
      <c r="A450" s="220" t="n"/>
    </row>
    <row r="451" ht="14.25" customHeight="1" s="120">
      <c r="A451" s="220" t="n"/>
    </row>
    <row r="452" ht="14.25" customHeight="1" s="120">
      <c r="A452" s="220" t="n"/>
    </row>
    <row r="453" ht="14.25" customHeight="1" s="120">
      <c r="A453" s="220" t="n"/>
    </row>
    <row r="454" ht="14.25" customHeight="1" s="120">
      <c r="A454" s="220" t="n"/>
    </row>
    <row r="455" ht="14.25" customHeight="1" s="120">
      <c r="A455" s="220" t="n"/>
    </row>
    <row r="456" ht="14.25" customHeight="1" s="120">
      <c r="A456" s="220" t="n"/>
    </row>
    <row r="457" ht="14.25" customHeight="1" s="120">
      <c r="A457" s="220" t="n"/>
    </row>
    <row r="458" ht="14.25" customHeight="1" s="120">
      <c r="A458" s="220" t="n"/>
    </row>
    <row r="459" ht="14.25" customHeight="1" s="120">
      <c r="A459" s="220" t="n"/>
    </row>
    <row r="460" ht="14.25" customHeight="1" s="120">
      <c r="A460" s="220" t="n"/>
    </row>
    <row r="461" ht="14.25" customHeight="1" s="120">
      <c r="A461" s="220" t="n"/>
    </row>
    <row r="462" ht="14.25" customHeight="1" s="120">
      <c r="A462" s="220" t="n"/>
    </row>
    <row r="463" ht="14.25" customHeight="1" s="120">
      <c r="A463" s="220" t="n"/>
    </row>
    <row r="464" ht="14.25" customHeight="1" s="120">
      <c r="A464" s="220" t="n"/>
    </row>
    <row r="465" ht="14.25" customHeight="1" s="120">
      <c r="A465" s="220" t="n"/>
    </row>
    <row r="466" ht="14.25" customHeight="1" s="120">
      <c r="A466" s="220" t="n"/>
    </row>
    <row r="467" ht="14.25" customHeight="1" s="120">
      <c r="A467" s="220" t="n"/>
    </row>
    <row r="468" ht="14.25" customHeight="1" s="120">
      <c r="A468" s="220" t="n"/>
    </row>
    <row r="469" ht="14.25" customHeight="1" s="120">
      <c r="A469" s="220" t="n"/>
    </row>
    <row r="470" ht="14.25" customHeight="1" s="120">
      <c r="A470" s="220" t="n"/>
    </row>
    <row r="471" ht="14.25" customHeight="1" s="120">
      <c r="A471" s="220" t="n"/>
    </row>
    <row r="472" ht="14.25" customHeight="1" s="120">
      <c r="A472" s="220" t="n"/>
    </row>
    <row r="473" ht="14.25" customHeight="1" s="120">
      <c r="A473" s="220" t="n"/>
    </row>
    <row r="474" ht="14.25" customHeight="1" s="120">
      <c r="A474" s="220" t="n"/>
    </row>
    <row r="475" ht="14.25" customHeight="1" s="120">
      <c r="A475" s="220" t="n"/>
    </row>
    <row r="476" ht="14.25" customHeight="1" s="120">
      <c r="A476" s="220" t="n"/>
    </row>
    <row r="477" ht="14.25" customHeight="1" s="120">
      <c r="A477" s="220" t="n"/>
    </row>
    <row r="478" ht="14.25" customHeight="1" s="120">
      <c r="A478" s="220" t="n"/>
    </row>
    <row r="479" ht="14.25" customHeight="1" s="120">
      <c r="A479" s="220" t="n"/>
    </row>
    <row r="480" ht="14.25" customHeight="1" s="120">
      <c r="A480" s="220" t="n"/>
    </row>
    <row r="481" ht="14.25" customHeight="1" s="120">
      <c r="A481" s="220" t="n"/>
    </row>
    <row r="482" ht="14.25" customHeight="1" s="120">
      <c r="A482" s="220" t="n"/>
    </row>
    <row r="483" ht="14.25" customHeight="1" s="120">
      <c r="A483" s="220" t="n"/>
    </row>
    <row r="484" ht="14.25" customHeight="1" s="120">
      <c r="A484" s="220" t="n"/>
    </row>
    <row r="485" ht="14.25" customHeight="1" s="120">
      <c r="A485" s="220" t="n"/>
    </row>
    <row r="486" ht="14.25" customHeight="1" s="120">
      <c r="A486" s="220" t="n"/>
    </row>
    <row r="487" ht="14.25" customHeight="1" s="120">
      <c r="A487" s="220" t="n"/>
    </row>
    <row r="488" ht="14.25" customHeight="1" s="120">
      <c r="A488" s="220" t="n"/>
    </row>
    <row r="489" ht="14.25" customHeight="1" s="120">
      <c r="A489" s="220" t="n"/>
    </row>
    <row r="490" ht="14.25" customHeight="1" s="120">
      <c r="A490" s="220" t="n"/>
    </row>
    <row r="491" ht="14.25" customHeight="1" s="120">
      <c r="A491" s="220" t="n"/>
    </row>
    <row r="492" ht="14.25" customHeight="1" s="120">
      <c r="A492" s="220" t="n"/>
    </row>
    <row r="493" ht="14.25" customHeight="1" s="120">
      <c r="A493" s="220" t="n"/>
    </row>
    <row r="494" ht="14.25" customHeight="1" s="120">
      <c r="A494" s="220" t="n"/>
    </row>
    <row r="495" ht="14.25" customHeight="1" s="120">
      <c r="A495" s="220" t="n"/>
    </row>
    <row r="496" ht="14.25" customHeight="1" s="120">
      <c r="A496" s="220" t="n"/>
    </row>
    <row r="497" ht="14.25" customHeight="1" s="120">
      <c r="A497" s="220" t="n"/>
    </row>
    <row r="498" ht="14.25" customHeight="1" s="120">
      <c r="A498" s="220" t="n"/>
    </row>
    <row r="499" ht="14.25" customHeight="1" s="120">
      <c r="A499" s="220" t="n"/>
    </row>
    <row r="500" ht="14.25" customHeight="1" s="120">
      <c r="A500" s="220" t="n"/>
    </row>
    <row r="501" ht="14.25" customHeight="1" s="120">
      <c r="A501" s="220" t="n"/>
    </row>
    <row r="502" ht="14.25" customHeight="1" s="120">
      <c r="A502" s="220" t="n"/>
    </row>
    <row r="503" ht="14.25" customHeight="1" s="120">
      <c r="A503" s="220" t="n"/>
    </row>
    <row r="504" ht="14.25" customHeight="1" s="120">
      <c r="A504" s="220" t="n"/>
    </row>
    <row r="505" ht="14.25" customHeight="1" s="120">
      <c r="A505" s="220" t="n"/>
    </row>
    <row r="506" ht="14.25" customHeight="1" s="120">
      <c r="A506" s="220" t="n"/>
    </row>
    <row r="507" ht="14.25" customHeight="1" s="120">
      <c r="A507" s="220" t="n"/>
    </row>
    <row r="508" ht="14.25" customHeight="1" s="120">
      <c r="A508" s="220" t="n"/>
    </row>
    <row r="509" ht="14.25" customHeight="1" s="120">
      <c r="A509" s="220" t="n"/>
    </row>
    <row r="510" ht="14.25" customHeight="1" s="120">
      <c r="A510" s="220" t="n"/>
    </row>
    <row r="511" ht="14.25" customHeight="1" s="120">
      <c r="A511" s="220" t="n"/>
    </row>
    <row r="512" ht="14.25" customHeight="1" s="120">
      <c r="A512" s="220" t="n"/>
    </row>
    <row r="513" ht="14.25" customHeight="1" s="120">
      <c r="A513" s="220" t="n"/>
    </row>
    <row r="514" ht="14.25" customHeight="1" s="120">
      <c r="A514" s="220" t="n"/>
    </row>
    <row r="515" ht="14.25" customHeight="1" s="120">
      <c r="A515" s="220" t="n"/>
    </row>
    <row r="516" ht="14.25" customHeight="1" s="120">
      <c r="A516" s="220" t="n"/>
    </row>
    <row r="517" ht="14.25" customHeight="1" s="120">
      <c r="A517" s="220" t="n"/>
    </row>
    <row r="518" ht="14.25" customHeight="1" s="120">
      <c r="A518" s="220" t="n"/>
    </row>
    <row r="519" ht="14.25" customHeight="1" s="120">
      <c r="A519" s="220" t="n"/>
    </row>
    <row r="520" ht="14.25" customHeight="1" s="120">
      <c r="A520" s="220" t="n"/>
    </row>
    <row r="521" ht="14.25" customHeight="1" s="120">
      <c r="A521" s="220" t="n"/>
    </row>
    <row r="522" ht="14.25" customHeight="1" s="120">
      <c r="A522" s="220" t="n"/>
    </row>
    <row r="523" ht="14.25" customHeight="1" s="120">
      <c r="A523" s="220" t="n"/>
    </row>
    <row r="524" ht="14.25" customHeight="1" s="120">
      <c r="A524" s="220" t="n"/>
    </row>
    <row r="525" ht="14.25" customHeight="1" s="120">
      <c r="A525" s="220" t="n"/>
    </row>
    <row r="526" ht="14.25" customHeight="1" s="120">
      <c r="A526" s="220" t="n"/>
    </row>
    <row r="527" ht="14.25" customHeight="1" s="120">
      <c r="A527" s="220" t="n"/>
    </row>
    <row r="528" ht="14.25" customHeight="1" s="120">
      <c r="A528" s="220" t="n"/>
    </row>
    <row r="529" ht="14.25" customHeight="1" s="120">
      <c r="A529" s="220" t="n"/>
    </row>
    <row r="530" ht="14.25" customHeight="1" s="120">
      <c r="A530" s="220" t="n"/>
    </row>
    <row r="531" ht="14.25" customHeight="1" s="120">
      <c r="A531" s="220" t="n"/>
    </row>
    <row r="532" ht="14.25" customHeight="1" s="120">
      <c r="A532" s="220" t="n"/>
    </row>
    <row r="533" ht="14.25" customHeight="1" s="120">
      <c r="A533" s="220" t="n"/>
    </row>
    <row r="534" ht="14.25" customHeight="1" s="120">
      <c r="A534" s="220" t="n"/>
    </row>
    <row r="535" ht="14.25" customHeight="1" s="120">
      <c r="A535" s="220" t="n"/>
    </row>
    <row r="536" ht="14.25" customHeight="1" s="120">
      <c r="A536" s="220" t="n"/>
    </row>
    <row r="537" ht="14.25" customHeight="1" s="120">
      <c r="A537" s="220" t="n"/>
    </row>
    <row r="538" ht="14.25" customHeight="1" s="120">
      <c r="A538" s="220" t="n"/>
    </row>
    <row r="539" ht="14.25" customHeight="1" s="120">
      <c r="A539" s="220" t="n"/>
    </row>
    <row r="540" ht="14.25" customHeight="1" s="120">
      <c r="A540" s="220" t="n"/>
    </row>
    <row r="541" ht="14.25" customHeight="1" s="120">
      <c r="A541" s="220" t="n"/>
    </row>
    <row r="542" ht="14.25" customHeight="1" s="120">
      <c r="A542" s="220" t="n"/>
    </row>
    <row r="543" ht="14.25" customHeight="1" s="120">
      <c r="A543" s="220" t="n"/>
    </row>
    <row r="544" ht="14.25" customHeight="1" s="120">
      <c r="A544" s="220" t="n"/>
    </row>
    <row r="545" ht="14.25" customHeight="1" s="120">
      <c r="A545" s="220" t="n"/>
    </row>
    <row r="546" ht="14.25" customHeight="1" s="120">
      <c r="A546" s="220" t="n"/>
    </row>
    <row r="547" ht="14.25" customHeight="1" s="120">
      <c r="A547" s="220" t="n"/>
    </row>
    <row r="548" ht="14.25" customHeight="1" s="120">
      <c r="A548" s="220" t="n"/>
    </row>
    <row r="549" ht="14.25" customHeight="1" s="120">
      <c r="A549" s="220" t="n"/>
    </row>
    <row r="550" ht="14.25" customHeight="1" s="120">
      <c r="A550" s="220" t="n"/>
    </row>
    <row r="551" ht="14.25" customHeight="1" s="120">
      <c r="A551" s="220" t="n"/>
    </row>
    <row r="552" ht="14.25" customHeight="1" s="120">
      <c r="A552" s="220" t="n"/>
    </row>
    <row r="553" ht="14.25" customHeight="1" s="120">
      <c r="A553" s="220" t="n"/>
    </row>
    <row r="554" ht="14.25" customHeight="1" s="120">
      <c r="A554" s="220" t="n"/>
    </row>
    <row r="555" ht="14.25" customHeight="1" s="120">
      <c r="A555" s="220" t="n"/>
    </row>
    <row r="556" ht="14.25" customHeight="1" s="120">
      <c r="A556" s="220" t="n"/>
    </row>
    <row r="557" ht="14.25" customHeight="1" s="120">
      <c r="A557" s="220" t="n"/>
    </row>
    <row r="558" ht="14.25" customHeight="1" s="120">
      <c r="A558" s="220" t="n"/>
    </row>
    <row r="559" ht="14.25" customHeight="1" s="120">
      <c r="A559" s="220" t="n"/>
    </row>
    <row r="560" ht="14.25" customHeight="1" s="120">
      <c r="A560" s="220" t="n"/>
    </row>
    <row r="561" ht="14.25" customHeight="1" s="120">
      <c r="A561" s="220" t="n"/>
    </row>
    <row r="562" ht="14.25" customHeight="1" s="120">
      <c r="A562" s="220" t="n"/>
    </row>
    <row r="563" ht="14.25" customHeight="1" s="120">
      <c r="A563" s="220" t="n"/>
    </row>
    <row r="564" ht="14.25" customHeight="1" s="120">
      <c r="A564" s="220" t="n"/>
    </row>
    <row r="565" ht="14.25" customHeight="1" s="120">
      <c r="A565" s="220" t="n"/>
    </row>
    <row r="566" ht="14.25" customHeight="1" s="120">
      <c r="A566" s="220" t="n"/>
    </row>
    <row r="567" ht="14.25" customHeight="1" s="120">
      <c r="A567" s="220" t="n"/>
    </row>
    <row r="568" ht="14.25" customHeight="1" s="120">
      <c r="A568" s="220" t="n"/>
    </row>
    <row r="569" ht="14.25" customHeight="1" s="120">
      <c r="A569" s="220" t="n"/>
    </row>
    <row r="570" ht="14.25" customHeight="1" s="120">
      <c r="A570" s="220" t="n"/>
    </row>
    <row r="571" ht="14.25" customHeight="1" s="120">
      <c r="A571" s="220" t="n"/>
    </row>
    <row r="572" ht="14.25" customHeight="1" s="120">
      <c r="A572" s="220" t="n"/>
    </row>
    <row r="573" ht="14.25" customHeight="1" s="120">
      <c r="A573" s="220" t="n"/>
    </row>
    <row r="574" ht="14.25" customHeight="1" s="120">
      <c r="A574" s="220" t="n"/>
    </row>
    <row r="575" ht="14.25" customHeight="1" s="120">
      <c r="A575" s="220" t="n"/>
    </row>
    <row r="576" ht="14.25" customHeight="1" s="120">
      <c r="A576" s="220" t="n"/>
    </row>
    <row r="577" ht="14.25" customHeight="1" s="120">
      <c r="A577" s="220" t="n"/>
    </row>
    <row r="578" ht="14.25" customHeight="1" s="120">
      <c r="A578" s="220" t="n"/>
    </row>
    <row r="579" ht="14.25" customHeight="1" s="120">
      <c r="A579" s="220" t="n"/>
    </row>
    <row r="580" ht="14.25" customHeight="1" s="120">
      <c r="A580" s="220" t="n"/>
    </row>
    <row r="581" ht="14.25" customHeight="1" s="120">
      <c r="A581" s="220" t="n"/>
    </row>
    <row r="582" ht="14.25" customHeight="1" s="120">
      <c r="A582" s="220" t="n"/>
    </row>
    <row r="583" ht="14.25" customHeight="1" s="120">
      <c r="A583" s="220" t="n"/>
    </row>
    <row r="584" ht="14.25" customHeight="1" s="120">
      <c r="A584" s="220" t="n"/>
    </row>
    <row r="585" ht="14.25" customHeight="1" s="120">
      <c r="A585" s="220" t="n"/>
    </row>
    <row r="586" ht="14.25" customHeight="1" s="120">
      <c r="A586" s="220" t="n"/>
    </row>
    <row r="587" ht="14.25" customHeight="1" s="120">
      <c r="A587" s="220" t="n"/>
    </row>
    <row r="588" ht="14.25" customHeight="1" s="120">
      <c r="A588" s="220" t="n"/>
    </row>
    <row r="589" ht="14.25" customHeight="1" s="120">
      <c r="A589" s="220" t="n"/>
    </row>
    <row r="590" ht="14.25" customHeight="1" s="120">
      <c r="A590" s="220" t="n"/>
    </row>
    <row r="591" ht="14.25" customHeight="1" s="120">
      <c r="A591" s="220" t="n"/>
    </row>
    <row r="592" ht="14.25" customHeight="1" s="120">
      <c r="A592" s="220" t="n"/>
    </row>
    <row r="593" ht="14.25" customHeight="1" s="120">
      <c r="A593" s="220" t="n"/>
    </row>
    <row r="594" ht="14.25" customHeight="1" s="120">
      <c r="A594" s="220" t="n"/>
    </row>
    <row r="595" ht="14.25" customHeight="1" s="120">
      <c r="A595" s="220" t="n"/>
    </row>
    <row r="596" ht="14.25" customHeight="1" s="120">
      <c r="A596" s="220" t="n"/>
    </row>
    <row r="597" ht="14.25" customHeight="1" s="120">
      <c r="A597" s="220" t="n"/>
    </row>
    <row r="598" ht="14.25" customHeight="1" s="120">
      <c r="A598" s="220" t="n"/>
    </row>
    <row r="599" ht="14.25" customHeight="1" s="120">
      <c r="A599" s="220" t="n"/>
    </row>
    <row r="600" ht="14.25" customHeight="1" s="120">
      <c r="A600" s="220" t="n"/>
    </row>
    <row r="601" ht="14.25" customHeight="1" s="120">
      <c r="A601" s="220" t="n"/>
    </row>
    <row r="602" ht="14.25" customHeight="1" s="120">
      <c r="A602" s="220" t="n"/>
    </row>
    <row r="603" ht="14.25" customHeight="1" s="120">
      <c r="A603" s="220" t="n"/>
    </row>
    <row r="604" ht="14.25" customHeight="1" s="120">
      <c r="A604" s="220" t="n"/>
    </row>
    <row r="605" ht="14.25" customHeight="1" s="120">
      <c r="A605" s="220" t="n"/>
    </row>
    <row r="606" ht="14.25" customHeight="1" s="120">
      <c r="A606" s="220" t="n"/>
    </row>
    <row r="607" ht="14.25" customHeight="1" s="120">
      <c r="A607" s="220" t="n"/>
    </row>
    <row r="608" ht="14.25" customHeight="1" s="120">
      <c r="A608" s="220" t="n"/>
    </row>
    <row r="609" ht="14.25" customHeight="1" s="120">
      <c r="A609" s="220" t="n"/>
    </row>
    <row r="610" ht="14.25" customHeight="1" s="120">
      <c r="A610" s="220" t="n"/>
    </row>
    <row r="611" ht="14.25" customHeight="1" s="120">
      <c r="A611" s="220" t="n"/>
    </row>
    <row r="612" ht="14.25" customHeight="1" s="120">
      <c r="A612" s="220" t="n"/>
    </row>
    <row r="613" ht="14.25" customHeight="1" s="120">
      <c r="A613" s="220" t="n"/>
    </row>
    <row r="614" ht="14.25" customHeight="1" s="120">
      <c r="A614" s="220" t="n"/>
    </row>
    <row r="615" ht="14.25" customHeight="1" s="120">
      <c r="A615" s="220" t="n"/>
    </row>
    <row r="616" ht="14.25" customHeight="1" s="120">
      <c r="A616" s="220" t="n"/>
    </row>
    <row r="617" ht="14.25" customHeight="1" s="120">
      <c r="A617" s="220" t="n"/>
    </row>
    <row r="618" ht="14.25" customHeight="1" s="120">
      <c r="A618" s="220" t="n"/>
    </row>
    <row r="619" ht="14.25" customHeight="1" s="120">
      <c r="A619" s="220" t="n"/>
    </row>
    <row r="620" ht="14.25" customHeight="1" s="120">
      <c r="A620" s="220" t="n"/>
    </row>
    <row r="621" ht="14.25" customHeight="1" s="120">
      <c r="A621" s="220" t="n"/>
    </row>
    <row r="622" ht="14.25" customHeight="1" s="120">
      <c r="A622" s="220" t="n"/>
    </row>
    <row r="623" ht="14.25" customHeight="1" s="120">
      <c r="A623" s="220" t="n"/>
    </row>
    <row r="624" ht="14.25" customHeight="1" s="120">
      <c r="A624" s="220" t="n"/>
    </row>
    <row r="625" ht="14.25" customHeight="1" s="120">
      <c r="A625" s="220" t="n"/>
    </row>
    <row r="626" ht="14.25" customHeight="1" s="120">
      <c r="A626" s="220" t="n"/>
    </row>
    <row r="627" ht="14.25" customHeight="1" s="120">
      <c r="A627" s="220" t="n"/>
    </row>
    <row r="628" ht="14.25" customHeight="1" s="120">
      <c r="A628" s="220" t="n"/>
    </row>
    <row r="629" ht="14.25" customHeight="1" s="120">
      <c r="A629" s="220" t="n"/>
    </row>
    <row r="630" ht="14.25" customHeight="1" s="120">
      <c r="A630" s="220" t="n"/>
    </row>
    <row r="631" ht="14.25" customHeight="1" s="120">
      <c r="A631" s="220" t="n"/>
    </row>
    <row r="632" ht="14.25" customHeight="1" s="120">
      <c r="A632" s="220" t="n"/>
    </row>
    <row r="633" ht="14.25" customHeight="1" s="120">
      <c r="A633" s="220" t="n"/>
    </row>
    <row r="634" ht="14.25" customHeight="1" s="120">
      <c r="A634" s="220" t="n"/>
    </row>
    <row r="635" ht="14.25" customHeight="1" s="120">
      <c r="A635" s="220" t="n"/>
    </row>
    <row r="636" ht="14.25" customHeight="1" s="120">
      <c r="A636" s="220" t="n"/>
    </row>
    <row r="637" ht="14.25" customHeight="1" s="120">
      <c r="A637" s="220" t="n"/>
    </row>
    <row r="638" ht="14.25" customHeight="1" s="120">
      <c r="A638" s="220" t="n"/>
    </row>
    <row r="639" ht="14.25" customHeight="1" s="120">
      <c r="A639" s="220" t="n"/>
    </row>
    <row r="640" ht="14.25" customHeight="1" s="120">
      <c r="A640" s="220" t="n"/>
    </row>
    <row r="641" ht="14.25" customHeight="1" s="120">
      <c r="A641" s="220" t="n"/>
    </row>
    <row r="642" ht="14.25" customHeight="1" s="120">
      <c r="A642" s="220" t="n"/>
    </row>
    <row r="643" ht="14.25" customHeight="1" s="120">
      <c r="A643" s="220" t="n"/>
    </row>
    <row r="644" ht="14.25" customHeight="1" s="120">
      <c r="A644" s="220" t="n"/>
    </row>
    <row r="645" ht="14.25" customHeight="1" s="120">
      <c r="A645" s="220" t="n"/>
    </row>
    <row r="646" ht="14.25" customHeight="1" s="120">
      <c r="A646" s="220" t="n"/>
    </row>
    <row r="647" ht="14.25" customHeight="1" s="120">
      <c r="A647" s="220" t="n"/>
    </row>
    <row r="648" ht="14.25" customHeight="1" s="120">
      <c r="A648" s="220" t="n"/>
    </row>
    <row r="649" ht="14.25" customHeight="1" s="120">
      <c r="A649" s="220" t="n"/>
    </row>
    <row r="650" ht="14.25" customHeight="1" s="120">
      <c r="A650" s="220" t="n"/>
    </row>
    <row r="651" ht="14.25" customHeight="1" s="120">
      <c r="A651" s="220" t="n"/>
    </row>
    <row r="652" ht="14.25" customHeight="1" s="120">
      <c r="A652" s="220" t="n"/>
    </row>
    <row r="653" ht="14.25" customHeight="1" s="120">
      <c r="A653" s="220" t="n"/>
    </row>
    <row r="654" ht="14.25" customHeight="1" s="120">
      <c r="A654" s="220" t="n"/>
    </row>
    <row r="655" ht="14.25" customHeight="1" s="120">
      <c r="A655" s="220" t="n"/>
    </row>
    <row r="656" ht="14.25" customHeight="1" s="120">
      <c r="A656" s="220" t="n"/>
    </row>
    <row r="657" ht="14.25" customHeight="1" s="120">
      <c r="A657" s="220" t="n"/>
    </row>
    <row r="658" ht="14.25" customHeight="1" s="120">
      <c r="A658" s="220" t="n"/>
    </row>
    <row r="659" ht="14.25" customHeight="1" s="120">
      <c r="A659" s="220" t="n"/>
    </row>
    <row r="660" ht="14.25" customHeight="1" s="120">
      <c r="A660" s="220" t="n"/>
    </row>
    <row r="661" ht="14.25" customHeight="1" s="120">
      <c r="A661" s="220" t="n"/>
    </row>
    <row r="662" ht="14.25" customHeight="1" s="120">
      <c r="A662" s="220" t="n"/>
    </row>
    <row r="663" ht="14.25" customHeight="1" s="120">
      <c r="A663" s="220" t="n"/>
    </row>
    <row r="664" ht="14.25" customHeight="1" s="120">
      <c r="A664" s="220" t="n"/>
    </row>
    <row r="665" ht="14.25" customHeight="1" s="120">
      <c r="A665" s="220" t="n"/>
    </row>
    <row r="666" ht="14.25" customHeight="1" s="120">
      <c r="A666" s="220" t="n"/>
    </row>
    <row r="667" ht="14.25" customHeight="1" s="120">
      <c r="A667" s="220" t="n"/>
    </row>
    <row r="668" ht="14.25" customHeight="1" s="120">
      <c r="A668" s="220" t="n"/>
    </row>
    <row r="669" ht="14.25" customHeight="1" s="120">
      <c r="A669" s="220" t="n"/>
    </row>
    <row r="670" ht="14.25" customHeight="1" s="120">
      <c r="A670" s="220" t="n"/>
    </row>
    <row r="671" ht="14.25" customHeight="1" s="120">
      <c r="A671" s="220" t="n"/>
    </row>
    <row r="672" ht="14.25" customHeight="1" s="120">
      <c r="A672" s="220" t="n"/>
    </row>
    <row r="673" ht="14.25" customHeight="1" s="120">
      <c r="A673" s="220" t="n"/>
    </row>
    <row r="674" ht="14.25" customHeight="1" s="120">
      <c r="A674" s="220" t="n"/>
    </row>
    <row r="675" ht="14.25" customHeight="1" s="120">
      <c r="A675" s="220" t="n"/>
    </row>
    <row r="676" ht="14.25" customHeight="1" s="120">
      <c r="A676" s="220" t="n"/>
    </row>
    <row r="677" ht="14.25" customHeight="1" s="120">
      <c r="A677" s="220" t="n"/>
    </row>
    <row r="678" ht="14.25" customHeight="1" s="120">
      <c r="A678" s="220" t="n"/>
    </row>
    <row r="679" ht="14.25" customHeight="1" s="120">
      <c r="A679" s="220" t="n"/>
    </row>
    <row r="680" ht="14.25" customHeight="1" s="120">
      <c r="A680" s="220" t="n"/>
    </row>
    <row r="681" ht="14.25" customHeight="1" s="120">
      <c r="A681" s="220" t="n"/>
    </row>
    <row r="682" ht="14.25" customHeight="1" s="120">
      <c r="A682" s="220" t="n"/>
    </row>
    <row r="683" ht="14.25" customHeight="1" s="120">
      <c r="A683" s="220" t="n"/>
    </row>
    <row r="684" ht="14.25" customHeight="1" s="120">
      <c r="A684" s="220" t="n"/>
    </row>
    <row r="685" ht="14.25" customHeight="1" s="120">
      <c r="A685" s="220" t="n"/>
    </row>
    <row r="686" ht="14.25" customHeight="1" s="120">
      <c r="A686" s="220" t="n"/>
    </row>
    <row r="687" ht="14.25" customHeight="1" s="120">
      <c r="A687" s="220" t="n"/>
    </row>
    <row r="688" ht="14.25" customHeight="1" s="120">
      <c r="A688" s="220" t="n"/>
    </row>
    <row r="689" ht="14.25" customHeight="1" s="120">
      <c r="A689" s="220" t="n"/>
    </row>
    <row r="690" ht="14.25" customHeight="1" s="120">
      <c r="A690" s="220" t="n"/>
    </row>
    <row r="691" ht="14.25" customHeight="1" s="120">
      <c r="A691" s="220" t="n"/>
    </row>
    <row r="692" ht="14.25" customHeight="1" s="120">
      <c r="A692" s="220" t="n"/>
    </row>
    <row r="693" ht="14.25" customHeight="1" s="120">
      <c r="A693" s="220" t="n"/>
    </row>
    <row r="694" ht="14.25" customHeight="1" s="120">
      <c r="A694" s="220" t="n"/>
    </row>
    <row r="695" ht="14.25" customHeight="1" s="120">
      <c r="A695" s="220" t="n"/>
    </row>
    <row r="696" ht="14.25" customHeight="1" s="120">
      <c r="A696" s="220" t="n"/>
    </row>
    <row r="697" ht="14.25" customHeight="1" s="120">
      <c r="A697" s="220" t="n"/>
    </row>
    <row r="698" ht="14.25" customHeight="1" s="120">
      <c r="A698" s="220" t="n"/>
    </row>
    <row r="699" ht="14.25" customHeight="1" s="120">
      <c r="A699" s="220" t="n"/>
    </row>
    <row r="700" ht="14.25" customHeight="1" s="120">
      <c r="A700" s="220" t="n"/>
    </row>
    <row r="701" ht="14.25" customHeight="1" s="120">
      <c r="A701" s="220" t="n"/>
    </row>
    <row r="702" ht="14.25" customHeight="1" s="120">
      <c r="A702" s="220" t="n"/>
    </row>
    <row r="703" ht="14.25" customHeight="1" s="120">
      <c r="A703" s="220" t="n"/>
    </row>
    <row r="704" ht="14.25" customHeight="1" s="120">
      <c r="A704" s="220" t="n"/>
    </row>
    <row r="705" ht="14.25" customHeight="1" s="120">
      <c r="A705" s="220" t="n"/>
    </row>
    <row r="706" ht="14.25" customHeight="1" s="120">
      <c r="A706" s="220" t="n"/>
    </row>
    <row r="707" ht="14.25" customHeight="1" s="120">
      <c r="A707" s="220" t="n"/>
    </row>
    <row r="708" ht="14.25" customHeight="1" s="120">
      <c r="A708" s="220" t="n"/>
    </row>
    <row r="709" ht="14.25" customHeight="1" s="120">
      <c r="A709" s="220" t="n"/>
    </row>
    <row r="710" ht="14.25" customHeight="1" s="120">
      <c r="A710" s="220" t="n"/>
    </row>
    <row r="711" ht="14.25" customHeight="1" s="120">
      <c r="A711" s="220" t="n"/>
    </row>
    <row r="712" ht="14.25" customHeight="1" s="120">
      <c r="A712" s="220" t="n"/>
    </row>
    <row r="713" ht="14.25" customHeight="1" s="120">
      <c r="A713" s="220" t="n"/>
    </row>
    <row r="714" ht="14.25" customHeight="1" s="120">
      <c r="A714" s="220" t="n"/>
    </row>
    <row r="715" ht="14.25" customHeight="1" s="120">
      <c r="A715" s="220" t="n"/>
    </row>
    <row r="716" ht="14.25" customHeight="1" s="120">
      <c r="A716" s="220" t="n"/>
    </row>
    <row r="717" ht="14.25" customHeight="1" s="120">
      <c r="A717" s="220" t="n"/>
    </row>
    <row r="718" ht="14.25" customHeight="1" s="120">
      <c r="A718" s="220" t="n"/>
    </row>
    <row r="719" ht="14.25" customHeight="1" s="120">
      <c r="A719" s="220" t="n"/>
    </row>
    <row r="720" ht="14.25" customHeight="1" s="120">
      <c r="A720" s="220" t="n"/>
    </row>
    <row r="721" ht="14.25" customHeight="1" s="120">
      <c r="A721" s="220" t="n"/>
    </row>
    <row r="722" ht="14.25" customHeight="1" s="120">
      <c r="A722" s="220" t="n"/>
    </row>
    <row r="723" ht="14.25" customHeight="1" s="120">
      <c r="A723" s="220" t="n"/>
    </row>
    <row r="724" ht="14.25" customHeight="1" s="120">
      <c r="A724" s="220" t="n"/>
    </row>
    <row r="725" ht="14.25" customHeight="1" s="120">
      <c r="A725" s="220" t="n"/>
    </row>
    <row r="726" ht="14.25" customHeight="1" s="120">
      <c r="A726" s="220" t="n"/>
    </row>
    <row r="727" ht="14.25" customHeight="1" s="120">
      <c r="A727" s="220" t="n"/>
    </row>
    <row r="728" ht="14.25" customHeight="1" s="120">
      <c r="A728" s="220" t="n"/>
    </row>
    <row r="729" ht="14.25" customHeight="1" s="120">
      <c r="A729" s="220" t="n"/>
    </row>
    <row r="730" ht="14.25" customHeight="1" s="120">
      <c r="A730" s="220" t="n"/>
    </row>
    <row r="731" ht="14.25" customHeight="1" s="120">
      <c r="A731" s="220" t="n"/>
    </row>
    <row r="732" ht="14.25" customHeight="1" s="120">
      <c r="A732" s="220" t="n"/>
    </row>
    <row r="733" ht="14.25" customHeight="1" s="120">
      <c r="A733" s="220" t="n"/>
    </row>
    <row r="734" ht="14.25" customHeight="1" s="120">
      <c r="A734" s="220" t="n"/>
    </row>
    <row r="735" ht="14.25" customHeight="1" s="120">
      <c r="A735" s="220" t="n"/>
    </row>
    <row r="736" ht="14.25" customHeight="1" s="120">
      <c r="A736" s="220" t="n"/>
    </row>
    <row r="737" ht="14.25" customHeight="1" s="120">
      <c r="A737" s="220" t="n"/>
    </row>
    <row r="738" ht="14.25" customHeight="1" s="120">
      <c r="A738" s="220" t="n"/>
    </row>
    <row r="739" ht="14.25" customHeight="1" s="120">
      <c r="A739" s="220" t="n"/>
    </row>
    <row r="740" ht="14.25" customHeight="1" s="120">
      <c r="A740" s="220" t="n"/>
    </row>
    <row r="741" ht="14.25" customHeight="1" s="120">
      <c r="A741" s="220" t="n"/>
    </row>
    <row r="742" ht="14.25" customHeight="1" s="120">
      <c r="A742" s="220" t="n"/>
    </row>
    <row r="743" ht="14.25" customHeight="1" s="120">
      <c r="A743" s="220" t="n"/>
    </row>
    <row r="744" ht="14.25" customHeight="1" s="120">
      <c r="A744" s="220" t="n"/>
    </row>
    <row r="745" ht="14.25" customHeight="1" s="120">
      <c r="A745" s="220" t="n"/>
    </row>
    <row r="746" ht="14.25" customHeight="1" s="120">
      <c r="A746" s="220" t="n"/>
    </row>
    <row r="747" ht="14.25" customHeight="1" s="120">
      <c r="A747" s="220" t="n"/>
    </row>
    <row r="748" ht="14.25" customHeight="1" s="120">
      <c r="A748" s="220" t="n"/>
    </row>
    <row r="749" ht="14.25" customHeight="1" s="120">
      <c r="A749" s="220" t="n"/>
    </row>
    <row r="750" ht="14.25" customHeight="1" s="120">
      <c r="A750" s="220" t="n"/>
    </row>
    <row r="751" ht="14.25" customHeight="1" s="120">
      <c r="A751" s="220" t="n"/>
    </row>
    <row r="752" ht="14.25" customHeight="1" s="120">
      <c r="A752" s="220" t="n"/>
    </row>
    <row r="753" ht="14.25" customHeight="1" s="120">
      <c r="A753" s="220" t="n"/>
    </row>
    <row r="754" ht="14.25" customHeight="1" s="120">
      <c r="A754" s="220" t="n"/>
    </row>
    <row r="755" ht="14.25" customHeight="1" s="120">
      <c r="A755" s="220" t="n"/>
    </row>
    <row r="756" ht="14.25" customHeight="1" s="120">
      <c r="A756" s="220" t="n"/>
    </row>
    <row r="757" ht="14.25" customHeight="1" s="120">
      <c r="A757" s="220" t="n"/>
    </row>
    <row r="758" ht="14.25" customHeight="1" s="120">
      <c r="A758" s="220" t="n"/>
    </row>
    <row r="759" ht="14.25" customHeight="1" s="120">
      <c r="A759" s="220" t="n"/>
    </row>
    <row r="760" ht="14.25" customHeight="1" s="120">
      <c r="A760" s="220" t="n"/>
    </row>
    <row r="761" ht="14.25" customHeight="1" s="120">
      <c r="A761" s="220" t="n"/>
    </row>
    <row r="762" ht="14.25" customHeight="1" s="120">
      <c r="A762" s="220" t="n"/>
    </row>
    <row r="763" ht="14.25" customHeight="1" s="120">
      <c r="A763" s="220" t="n"/>
    </row>
    <row r="764" ht="14.25" customHeight="1" s="120">
      <c r="A764" s="220" t="n"/>
    </row>
    <row r="765" ht="14.25" customHeight="1" s="120">
      <c r="A765" s="220" t="n"/>
    </row>
    <row r="766" ht="14.25" customHeight="1" s="120">
      <c r="A766" s="220" t="n"/>
    </row>
    <row r="767" ht="14.25" customHeight="1" s="120">
      <c r="A767" s="220" t="n"/>
    </row>
    <row r="768" ht="14.25" customHeight="1" s="120">
      <c r="A768" s="220" t="n"/>
    </row>
    <row r="769" ht="14.25" customHeight="1" s="120">
      <c r="A769" s="220" t="n"/>
    </row>
    <row r="770" ht="14.25" customHeight="1" s="120">
      <c r="A770" s="220" t="n"/>
    </row>
    <row r="771" ht="14.25" customHeight="1" s="120">
      <c r="A771" s="220" t="n"/>
    </row>
    <row r="772" ht="14.25" customHeight="1" s="120">
      <c r="A772" s="220" t="n"/>
    </row>
    <row r="773" ht="14.25" customHeight="1" s="120">
      <c r="A773" s="220" t="n"/>
    </row>
    <row r="774" ht="14.25" customHeight="1" s="120">
      <c r="A774" s="220" t="n"/>
    </row>
    <row r="775" ht="14.25" customHeight="1" s="120">
      <c r="A775" s="220" t="n"/>
    </row>
    <row r="776" ht="14.25" customHeight="1" s="120">
      <c r="A776" s="220" t="n"/>
    </row>
    <row r="777" ht="14.25" customHeight="1" s="120">
      <c r="A777" s="220" t="n"/>
    </row>
    <row r="778" ht="14.25" customHeight="1" s="120">
      <c r="A778" s="220" t="n"/>
    </row>
    <row r="779" ht="14.25" customHeight="1" s="120">
      <c r="A779" s="220" t="n"/>
    </row>
    <row r="780" ht="14.25" customHeight="1" s="120">
      <c r="A780" s="220" t="n"/>
    </row>
    <row r="781" ht="14.25" customHeight="1" s="120">
      <c r="A781" s="220" t="n"/>
    </row>
    <row r="782" ht="14.25" customHeight="1" s="120">
      <c r="A782" s="220" t="n"/>
    </row>
    <row r="783" ht="14.25" customHeight="1" s="120">
      <c r="A783" s="220" t="n"/>
    </row>
    <row r="784" ht="14.25" customHeight="1" s="120">
      <c r="A784" s="220" t="n"/>
    </row>
    <row r="785" ht="14.25" customHeight="1" s="120">
      <c r="A785" s="220" t="n"/>
    </row>
    <row r="786" ht="14.25" customHeight="1" s="120">
      <c r="A786" s="220" t="n"/>
    </row>
    <row r="787" ht="14.25" customHeight="1" s="120">
      <c r="A787" s="220" t="n"/>
    </row>
    <row r="788" ht="14.25" customHeight="1" s="120">
      <c r="A788" s="220" t="n"/>
    </row>
    <row r="789" ht="14.25" customHeight="1" s="120">
      <c r="A789" s="220" t="n"/>
    </row>
    <row r="790" ht="14.25" customHeight="1" s="120">
      <c r="A790" s="220" t="n"/>
    </row>
    <row r="791" ht="14.25" customHeight="1" s="120">
      <c r="A791" s="220" t="n"/>
    </row>
    <row r="792" ht="14.25" customHeight="1" s="120">
      <c r="A792" s="220" t="n"/>
    </row>
    <row r="793" ht="14.25" customHeight="1" s="120">
      <c r="A793" s="220" t="n"/>
    </row>
    <row r="794" ht="14.25" customHeight="1" s="120">
      <c r="A794" s="220" t="n"/>
    </row>
    <row r="795" ht="14.25" customHeight="1" s="120">
      <c r="A795" s="220" t="n"/>
    </row>
    <row r="796" ht="14.25" customHeight="1" s="120">
      <c r="A796" s="220" t="n"/>
    </row>
    <row r="797" ht="14.25" customHeight="1" s="120">
      <c r="A797" s="220" t="n"/>
    </row>
    <row r="798" ht="14.25" customHeight="1" s="120">
      <c r="A798" s="220" t="n"/>
    </row>
    <row r="799" ht="14.25" customHeight="1" s="120">
      <c r="A799" s="220" t="n"/>
    </row>
    <row r="800" ht="14.25" customHeight="1" s="120">
      <c r="A800" s="220" t="n"/>
    </row>
    <row r="801" ht="14.25" customHeight="1" s="120">
      <c r="A801" s="220" t="n"/>
    </row>
    <row r="802" ht="14.25" customHeight="1" s="120">
      <c r="A802" s="220" t="n"/>
    </row>
    <row r="803" ht="14.25" customHeight="1" s="120">
      <c r="A803" s="220" t="n"/>
    </row>
    <row r="804" ht="14.25" customHeight="1" s="120">
      <c r="A804" s="220" t="n"/>
    </row>
    <row r="805" ht="14.25" customHeight="1" s="120">
      <c r="A805" s="220" t="n"/>
    </row>
    <row r="806" ht="14.25" customHeight="1" s="120">
      <c r="A806" s="220" t="n"/>
    </row>
    <row r="807" ht="14.25" customHeight="1" s="120">
      <c r="A807" s="220" t="n"/>
    </row>
    <row r="808" ht="14.25" customHeight="1" s="120">
      <c r="A808" s="220" t="n"/>
    </row>
    <row r="809" ht="14.25" customHeight="1" s="120">
      <c r="A809" s="220" t="n"/>
    </row>
    <row r="810" ht="14.25" customHeight="1" s="120">
      <c r="A810" s="220" t="n"/>
    </row>
    <row r="811" ht="14.25" customHeight="1" s="120">
      <c r="A811" s="220" t="n"/>
    </row>
    <row r="812" ht="14.25" customHeight="1" s="120">
      <c r="A812" s="220" t="n"/>
    </row>
    <row r="813" ht="14.25" customHeight="1" s="120">
      <c r="A813" s="220" t="n"/>
    </row>
    <row r="814" ht="14.25" customHeight="1" s="120">
      <c r="A814" s="220" t="n"/>
    </row>
    <row r="815" ht="14.25" customHeight="1" s="120">
      <c r="A815" s="220" t="n"/>
    </row>
    <row r="816" ht="14.25" customHeight="1" s="120">
      <c r="A816" s="220" t="n"/>
    </row>
    <row r="817" ht="14.25" customHeight="1" s="120">
      <c r="A817" s="220" t="n"/>
    </row>
    <row r="818" ht="14.25" customHeight="1" s="120">
      <c r="A818" s="220" t="n"/>
    </row>
    <row r="819" ht="14.25" customHeight="1" s="120">
      <c r="A819" s="220" t="n"/>
    </row>
    <row r="820" ht="14.25" customHeight="1" s="120">
      <c r="A820" s="220" t="n"/>
    </row>
    <row r="821" ht="14.25" customHeight="1" s="120">
      <c r="A821" s="220" t="n"/>
    </row>
    <row r="822" ht="14.25" customHeight="1" s="120">
      <c r="A822" s="220" t="n"/>
    </row>
    <row r="823" ht="14.25" customHeight="1" s="120">
      <c r="A823" s="220" t="n"/>
    </row>
    <row r="824" ht="14.25" customHeight="1" s="120">
      <c r="A824" s="220" t="n"/>
    </row>
    <row r="825" ht="14.25" customHeight="1" s="120">
      <c r="A825" s="220" t="n"/>
    </row>
    <row r="826" ht="14.25" customHeight="1" s="120">
      <c r="A826" s="220" t="n"/>
    </row>
    <row r="827" ht="14.25" customHeight="1" s="120">
      <c r="A827" s="220" t="n"/>
    </row>
    <row r="828" ht="14.25" customHeight="1" s="120">
      <c r="A828" s="220" t="n"/>
    </row>
    <row r="829" ht="14.25" customHeight="1" s="120">
      <c r="A829" s="220" t="n"/>
    </row>
    <row r="830" ht="14.25" customHeight="1" s="120">
      <c r="A830" s="220" t="n"/>
    </row>
    <row r="831" ht="14.25" customHeight="1" s="120">
      <c r="A831" s="220" t="n"/>
    </row>
    <row r="832" ht="14.25" customHeight="1" s="120">
      <c r="A832" s="220" t="n"/>
    </row>
    <row r="833" ht="14.25" customHeight="1" s="120">
      <c r="A833" s="220" t="n"/>
    </row>
    <row r="834" ht="14.25" customHeight="1" s="120">
      <c r="A834" s="220" t="n"/>
    </row>
    <row r="835" ht="14.25" customHeight="1" s="120">
      <c r="A835" s="220" t="n"/>
    </row>
    <row r="836" ht="14.25" customHeight="1" s="120">
      <c r="A836" s="220" t="n"/>
    </row>
    <row r="837" ht="14.25" customHeight="1" s="120">
      <c r="A837" s="220" t="n"/>
    </row>
    <row r="838" ht="14.25" customHeight="1" s="120">
      <c r="A838" s="220" t="n"/>
    </row>
    <row r="839" ht="14.25" customHeight="1" s="120">
      <c r="A839" s="220" t="n"/>
    </row>
    <row r="840" ht="14.25" customHeight="1" s="120">
      <c r="A840" s="220" t="n"/>
    </row>
    <row r="841" ht="14.25" customHeight="1" s="120">
      <c r="A841" s="220" t="n"/>
    </row>
    <row r="842" ht="14.25" customHeight="1" s="120">
      <c r="A842" s="220" t="n"/>
    </row>
    <row r="843" ht="14.25" customHeight="1" s="120">
      <c r="A843" s="220" t="n"/>
    </row>
    <row r="844" ht="14.25" customHeight="1" s="120">
      <c r="A844" s="220" t="n"/>
    </row>
    <row r="845" ht="14.25" customHeight="1" s="120">
      <c r="A845" s="220" t="n"/>
    </row>
    <row r="846" ht="14.25" customHeight="1" s="120">
      <c r="A846" s="220" t="n"/>
    </row>
    <row r="847" ht="14.25" customHeight="1" s="120">
      <c r="A847" s="220" t="n"/>
    </row>
    <row r="848" ht="14.25" customHeight="1" s="120">
      <c r="A848" s="220" t="n"/>
    </row>
    <row r="849" ht="14.25" customHeight="1" s="120">
      <c r="A849" s="220" t="n"/>
    </row>
    <row r="850" ht="14.25" customHeight="1" s="120">
      <c r="A850" s="220" t="n"/>
    </row>
    <row r="851" ht="14.25" customHeight="1" s="120">
      <c r="A851" s="220" t="n"/>
    </row>
    <row r="852" ht="14.25" customHeight="1" s="120">
      <c r="A852" s="220" t="n"/>
    </row>
    <row r="853" ht="14.25" customHeight="1" s="120">
      <c r="A853" s="220" t="n"/>
    </row>
    <row r="854" ht="14.25" customHeight="1" s="120">
      <c r="A854" s="220" t="n"/>
    </row>
    <row r="855" ht="14.25" customHeight="1" s="120">
      <c r="A855" s="220" t="n"/>
    </row>
    <row r="856" ht="14.25" customHeight="1" s="120">
      <c r="A856" s="220" t="n"/>
    </row>
    <row r="857" ht="14.25" customHeight="1" s="120">
      <c r="A857" s="220" t="n"/>
    </row>
    <row r="858" ht="14.25" customHeight="1" s="120">
      <c r="A858" s="220" t="n"/>
    </row>
    <row r="859" ht="14.25" customHeight="1" s="120">
      <c r="A859" s="220" t="n"/>
    </row>
    <row r="860" ht="14.25" customHeight="1" s="120">
      <c r="A860" s="220" t="n"/>
    </row>
    <row r="861" ht="14.25" customHeight="1" s="120">
      <c r="A861" s="220" t="n"/>
    </row>
    <row r="862" ht="14.25" customHeight="1" s="120">
      <c r="A862" s="220" t="n"/>
    </row>
    <row r="863" ht="14.25" customHeight="1" s="120">
      <c r="A863" s="220" t="n"/>
    </row>
    <row r="864" ht="14.25" customHeight="1" s="120">
      <c r="A864" s="220" t="n"/>
    </row>
    <row r="865" ht="14.25" customHeight="1" s="120">
      <c r="A865" s="220" t="n"/>
    </row>
    <row r="866" ht="14.25" customHeight="1" s="120">
      <c r="A866" s="220" t="n"/>
    </row>
    <row r="867" ht="14.25" customHeight="1" s="120">
      <c r="A867" s="220" t="n"/>
    </row>
    <row r="868" ht="14.25" customHeight="1" s="120">
      <c r="A868" s="220" t="n"/>
    </row>
    <row r="869" ht="14.25" customHeight="1" s="120">
      <c r="A869" s="220" t="n"/>
    </row>
    <row r="870" ht="14.25" customHeight="1" s="120">
      <c r="A870" s="220" t="n"/>
    </row>
    <row r="871" ht="14.25" customHeight="1" s="120">
      <c r="A871" s="220" t="n"/>
    </row>
    <row r="872" ht="14.25" customHeight="1" s="120">
      <c r="A872" s="220" t="n"/>
    </row>
    <row r="873" ht="14.25" customHeight="1" s="120">
      <c r="A873" s="220" t="n"/>
    </row>
    <row r="874" ht="14.25" customHeight="1" s="120">
      <c r="A874" s="220" t="n"/>
    </row>
    <row r="875" ht="14.25" customHeight="1" s="120">
      <c r="A875" s="220" t="n"/>
    </row>
    <row r="876" ht="14.25" customHeight="1" s="120">
      <c r="A876" s="220" t="n"/>
    </row>
    <row r="877" ht="14.25" customHeight="1" s="120">
      <c r="A877" s="220" t="n"/>
    </row>
    <row r="878" ht="14.25" customHeight="1" s="120">
      <c r="A878" s="220" t="n"/>
    </row>
    <row r="879" ht="14.25" customHeight="1" s="120">
      <c r="A879" s="220" t="n"/>
    </row>
    <row r="880" ht="14.25" customHeight="1" s="120">
      <c r="A880" s="220" t="n"/>
    </row>
    <row r="881" ht="14.25" customHeight="1" s="120">
      <c r="A881" s="220" t="n"/>
    </row>
    <row r="882" ht="14.25" customHeight="1" s="120">
      <c r="A882" s="220" t="n"/>
    </row>
    <row r="883" ht="14.25" customHeight="1" s="120">
      <c r="A883" s="220" t="n"/>
    </row>
    <row r="884" ht="14.25" customHeight="1" s="120">
      <c r="A884" s="220" t="n"/>
    </row>
    <row r="885" ht="14.25" customHeight="1" s="120">
      <c r="A885" s="220" t="n"/>
    </row>
    <row r="886" ht="14.25" customHeight="1" s="120">
      <c r="A886" s="220" t="n"/>
    </row>
    <row r="887" ht="14.25" customHeight="1" s="120">
      <c r="A887" s="220" t="n"/>
    </row>
    <row r="888" ht="14.25" customHeight="1" s="120">
      <c r="A888" s="220" t="n"/>
    </row>
    <row r="889" ht="14.25" customHeight="1" s="120">
      <c r="A889" s="220" t="n"/>
    </row>
    <row r="890" ht="14.25" customHeight="1" s="120">
      <c r="A890" s="220" t="n"/>
    </row>
    <row r="891" ht="14.25" customHeight="1" s="120">
      <c r="A891" s="220" t="n"/>
    </row>
    <row r="892" ht="14.25" customHeight="1" s="120">
      <c r="A892" s="220" t="n"/>
    </row>
    <row r="893" ht="14.25" customHeight="1" s="120">
      <c r="A893" s="220" t="n"/>
    </row>
    <row r="894" ht="14.25" customHeight="1" s="120">
      <c r="A894" s="220" t="n"/>
    </row>
    <row r="895" ht="14.25" customHeight="1" s="120">
      <c r="A895" s="220" t="n"/>
    </row>
    <row r="896" ht="14.25" customHeight="1" s="120">
      <c r="A896" s="220" t="n"/>
    </row>
    <row r="897" ht="14.25" customHeight="1" s="120">
      <c r="A897" s="220" t="n"/>
    </row>
    <row r="898" ht="14.25" customHeight="1" s="120">
      <c r="A898" s="220" t="n"/>
    </row>
    <row r="899" ht="14.25" customHeight="1" s="120">
      <c r="A899" s="220" t="n"/>
    </row>
    <row r="900" ht="14.25" customHeight="1" s="120">
      <c r="A900" s="220" t="n"/>
    </row>
    <row r="901" ht="14.25" customHeight="1" s="120">
      <c r="A901" s="220" t="n"/>
    </row>
    <row r="902" ht="14.25" customHeight="1" s="120">
      <c r="A902" s="220" t="n"/>
    </row>
    <row r="903" ht="14.25" customHeight="1" s="120">
      <c r="A903" s="220" t="n"/>
    </row>
    <row r="904" ht="14.25" customHeight="1" s="120">
      <c r="A904" s="220" t="n"/>
    </row>
    <row r="905" ht="14.25" customHeight="1" s="120">
      <c r="A905" s="220" t="n"/>
    </row>
    <row r="906" ht="14.25" customHeight="1" s="120">
      <c r="A906" s="220" t="n"/>
    </row>
    <row r="907" ht="14.25" customHeight="1" s="120">
      <c r="A907" s="220" t="n"/>
    </row>
    <row r="908" ht="14.25" customHeight="1" s="120">
      <c r="A908" s="220" t="n"/>
    </row>
    <row r="909" ht="14.25" customHeight="1" s="120">
      <c r="A909" s="220" t="n"/>
    </row>
    <row r="910" ht="14.25" customHeight="1" s="120">
      <c r="A910" s="220" t="n"/>
    </row>
    <row r="911" ht="14.25" customHeight="1" s="120">
      <c r="A911" s="220" t="n"/>
    </row>
    <row r="912" ht="14.25" customHeight="1" s="120">
      <c r="A912" s="220" t="n"/>
    </row>
    <row r="913" ht="14.25" customHeight="1" s="120">
      <c r="A913" s="220" t="n"/>
    </row>
    <row r="914" ht="14.25" customHeight="1" s="120">
      <c r="A914" s="220" t="n"/>
    </row>
    <row r="915" ht="14.25" customHeight="1" s="120">
      <c r="A915" s="220" t="n"/>
    </row>
    <row r="916" ht="14.25" customHeight="1" s="120">
      <c r="A916" s="220" t="n"/>
    </row>
    <row r="917" ht="14.25" customHeight="1" s="120">
      <c r="A917" s="220" t="n"/>
    </row>
    <row r="918" ht="14.25" customHeight="1" s="120">
      <c r="A918" s="220" t="n"/>
    </row>
    <row r="919" ht="14.25" customHeight="1" s="120">
      <c r="A919" s="220" t="n"/>
    </row>
    <row r="920" ht="14.25" customHeight="1" s="120">
      <c r="A920" s="220" t="n"/>
    </row>
    <row r="921" ht="14.25" customHeight="1" s="120">
      <c r="A921" s="220" t="n"/>
    </row>
    <row r="922" ht="14.25" customHeight="1" s="120">
      <c r="A922" s="220" t="n"/>
    </row>
    <row r="923" ht="14.25" customHeight="1" s="120">
      <c r="A923" s="220" t="n"/>
    </row>
    <row r="924" ht="14.25" customHeight="1" s="120">
      <c r="A924" s="220" t="n"/>
    </row>
    <row r="925" ht="14.25" customHeight="1" s="120">
      <c r="A925" s="220" t="n"/>
    </row>
    <row r="926" ht="14.25" customHeight="1" s="120">
      <c r="A926" s="220" t="n"/>
    </row>
    <row r="927" ht="14.25" customHeight="1" s="120">
      <c r="A927" s="220" t="n"/>
    </row>
    <row r="928" ht="14.25" customHeight="1" s="120">
      <c r="A928" s="220" t="n"/>
    </row>
    <row r="929" ht="14.25" customHeight="1" s="120">
      <c r="A929" s="220" t="n"/>
    </row>
    <row r="930" ht="14.25" customHeight="1" s="120">
      <c r="A930" s="220" t="n"/>
    </row>
    <row r="931" ht="14.25" customHeight="1" s="120">
      <c r="A931" s="220" t="n"/>
    </row>
    <row r="932" ht="14.25" customHeight="1" s="120">
      <c r="A932" s="220" t="n"/>
    </row>
    <row r="933" ht="14.25" customHeight="1" s="120">
      <c r="A933" s="220" t="n"/>
    </row>
    <row r="934" ht="14.25" customHeight="1" s="120">
      <c r="A934" s="220" t="n"/>
    </row>
    <row r="935" ht="14.25" customHeight="1" s="120">
      <c r="A935" s="220" t="n"/>
    </row>
    <row r="936" ht="14.25" customHeight="1" s="120">
      <c r="A936" s="220" t="n"/>
    </row>
    <row r="937" ht="14.25" customHeight="1" s="120">
      <c r="A937" s="220" t="n"/>
    </row>
    <row r="938" ht="14.25" customHeight="1" s="120">
      <c r="A938" s="220" t="n"/>
    </row>
    <row r="939" ht="14.25" customHeight="1" s="120">
      <c r="A939" s="220" t="n"/>
    </row>
    <row r="940" ht="14.25" customHeight="1" s="120">
      <c r="A940" s="220" t="n"/>
    </row>
    <row r="941" ht="14.25" customHeight="1" s="120">
      <c r="A941" s="220" t="n"/>
    </row>
    <row r="942" ht="14.25" customHeight="1" s="120">
      <c r="A942" s="220" t="n"/>
    </row>
    <row r="943" ht="14.25" customHeight="1" s="120">
      <c r="A943" s="220" t="n"/>
    </row>
    <row r="944" ht="14.25" customHeight="1" s="120">
      <c r="A944" s="220" t="n"/>
    </row>
    <row r="945" ht="14.25" customHeight="1" s="120">
      <c r="A945" s="220" t="n"/>
    </row>
    <row r="946" ht="14.25" customHeight="1" s="120">
      <c r="A946" s="220" t="n"/>
    </row>
    <row r="947" ht="14.25" customHeight="1" s="120">
      <c r="A947" s="220" t="n"/>
    </row>
    <row r="948" ht="14.25" customHeight="1" s="120">
      <c r="A948" s="220" t="n"/>
    </row>
    <row r="949" ht="14.25" customHeight="1" s="120">
      <c r="A949" s="220" t="n"/>
    </row>
    <row r="950" ht="14.25" customHeight="1" s="120">
      <c r="A950" s="220" t="n"/>
    </row>
    <row r="951" ht="14.25" customHeight="1" s="120">
      <c r="A951" s="220" t="n"/>
    </row>
    <row r="952" ht="14.25" customHeight="1" s="120">
      <c r="A952" s="220" t="n"/>
    </row>
    <row r="953" ht="14.25" customHeight="1" s="120">
      <c r="A953" s="220" t="n"/>
    </row>
    <row r="954" ht="14.25" customHeight="1" s="120">
      <c r="A954" s="220" t="n"/>
    </row>
    <row r="955" ht="14.25" customHeight="1" s="120">
      <c r="A955" s="220" t="n"/>
    </row>
    <row r="956" ht="14.25" customHeight="1" s="120">
      <c r="A956" s="220" t="n"/>
    </row>
    <row r="957" ht="14.25" customHeight="1" s="120">
      <c r="A957" s="220" t="n"/>
    </row>
    <row r="958" ht="14.25" customHeight="1" s="120">
      <c r="A958" s="220" t="n"/>
    </row>
    <row r="959" ht="14.25" customHeight="1" s="120">
      <c r="A959" s="220" t="n"/>
    </row>
    <row r="960" ht="14.25" customHeight="1" s="120">
      <c r="A960" s="220" t="n"/>
    </row>
    <row r="961" ht="14.25" customHeight="1" s="120">
      <c r="A961" s="220" t="n"/>
    </row>
    <row r="962" ht="14.25" customHeight="1" s="120">
      <c r="A962" s="220" t="n"/>
    </row>
    <row r="963" ht="14.25" customHeight="1" s="120">
      <c r="A963" s="220" t="n"/>
    </row>
    <row r="964" ht="14.25" customHeight="1" s="120">
      <c r="A964" s="220" t="n"/>
    </row>
    <row r="965" ht="14.25" customHeight="1" s="120">
      <c r="A965" s="220" t="n"/>
    </row>
    <row r="966" ht="14.25" customHeight="1" s="120">
      <c r="A966" s="220" t="n"/>
    </row>
    <row r="967" ht="14.25" customHeight="1" s="120">
      <c r="A967" s="220" t="n"/>
    </row>
    <row r="968" ht="14.25" customHeight="1" s="120">
      <c r="A968" s="220" t="n"/>
    </row>
    <row r="969" ht="14.25" customHeight="1" s="120">
      <c r="A969" s="220" t="n"/>
    </row>
    <row r="970" ht="14.25" customHeight="1" s="120">
      <c r="A970" s="220" t="n"/>
    </row>
    <row r="971" ht="14.25" customHeight="1" s="120">
      <c r="A971" s="220" t="n"/>
    </row>
    <row r="972" ht="14.25" customHeight="1" s="120">
      <c r="A972" s="220" t="n"/>
    </row>
    <row r="973" ht="14.25" customHeight="1" s="120">
      <c r="A973" s="220" t="n"/>
    </row>
    <row r="974" ht="14.25" customHeight="1" s="120">
      <c r="A974" s="220" t="n"/>
    </row>
    <row r="975" ht="14.25" customHeight="1" s="120">
      <c r="A975" s="220" t="n"/>
    </row>
    <row r="976" ht="14.25" customHeight="1" s="120">
      <c r="A976" s="220" t="n"/>
    </row>
    <row r="977" ht="14.25" customHeight="1" s="120">
      <c r="A977" s="220" t="n"/>
    </row>
    <row r="978" ht="14.25" customHeight="1" s="120">
      <c r="A978" s="220" t="n"/>
    </row>
    <row r="979" ht="14.25" customHeight="1" s="120">
      <c r="A979" s="220" t="n"/>
    </row>
    <row r="980" ht="14.25" customHeight="1" s="120">
      <c r="A980" s="220" t="n"/>
    </row>
    <row r="981" ht="14.25" customHeight="1" s="120">
      <c r="A981" s="220" t="n"/>
    </row>
    <row r="982" ht="14.25" customHeight="1" s="120">
      <c r="A982" s="220" t="n"/>
    </row>
    <row r="983" ht="14.25" customHeight="1" s="120">
      <c r="A983" s="220" t="n"/>
    </row>
    <row r="984" ht="14.25" customHeight="1" s="120">
      <c r="A984" s="220" t="n"/>
    </row>
    <row r="985" ht="14.25" customHeight="1" s="120">
      <c r="A985" s="220" t="n"/>
    </row>
    <row r="986" ht="14.25" customHeight="1" s="120">
      <c r="A986" s="220" t="n"/>
    </row>
    <row r="987" ht="14.25" customHeight="1" s="120">
      <c r="A987" s="220" t="n"/>
    </row>
    <row r="988" ht="14.25" customHeight="1" s="120">
      <c r="A988" s="220" t="n"/>
    </row>
    <row r="989" ht="14.25" customHeight="1" s="120">
      <c r="A989" s="220" t="n"/>
    </row>
    <row r="990" ht="14.25" customHeight="1" s="120">
      <c r="A990" s="220" t="n"/>
    </row>
    <row r="991" ht="14.25" customHeight="1" s="120">
      <c r="A991" s="220" t="n"/>
    </row>
    <row r="992" ht="14.25" customHeight="1" s="120">
      <c r="A992" s="220" t="n"/>
    </row>
    <row r="993" ht="14.25" customHeight="1" s="120">
      <c r="A993" s="220" t="n"/>
    </row>
    <row r="994" ht="14.25" customHeight="1" s="120">
      <c r="A994" s="220" t="n"/>
    </row>
    <row r="995" ht="14.25" customHeight="1" s="120">
      <c r="A995" s="220" t="n"/>
    </row>
    <row r="996" ht="14.25" customHeight="1" s="120">
      <c r="A996" s="220" t="n"/>
    </row>
    <row r="997" ht="14.25" customHeight="1" s="120">
      <c r="A997" s="220" t="n"/>
    </row>
    <row r="998" ht="14.25" customHeight="1" s="120">
      <c r="A998" s="220" t="n"/>
    </row>
    <row r="999" ht="14.25" customHeight="1" s="120">
      <c r="A999" s="220" t="n"/>
    </row>
    <row r="1000" ht="14.25" customHeight="1" s="120">
      <c r="A1000" s="22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Phillip Rogers</dc:creator>
  <dc:language xmlns:dc="http://purl.org/dc/elements/1.1/">en-US</dc:language>
  <dcterms:created xmlns:dcterms="http://purl.org/dc/terms/" xmlns:xsi="http://www.w3.org/2001/XMLSchema-instance" xsi:type="dcterms:W3CDTF">2026-08-25T00:30:39Z</dcterms:created>
  <dcterms:modified xmlns:dcterms="http://purl.org/dc/terms/" xmlns:xsi="http://www.w3.org/2001/XMLSchema-instance" xsi:type="dcterms:W3CDTF">2026-08-27T14:42:09Z</dcterms:modified>
  <cp:lastModifiedBy>Phillip Rogers</cp:lastModifiedBy>
  <cp:revision>0</cp:revision>
</cp:coreProperties>
</file>